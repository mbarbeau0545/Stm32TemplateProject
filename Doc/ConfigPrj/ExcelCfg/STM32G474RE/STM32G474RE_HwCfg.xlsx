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FD3B7FA5-8767-4266-90E0-EFF7327CB32E}" xr6:coauthVersionLast="47" xr6:coauthVersionMax="47" xr10:uidLastSave="{00000000-0000-0000-0000-000000000000}"/>
  <bookViews>
    <workbookView xWindow="-108" yWindow="-108" windowWidth="23256" windowHeight="12456" activeTab="8" xr2:uid="{2AF09063-600F-437A-B138-F66136E922A5}"/>
  </bookViews>
  <sheets>
    <sheet name="General_Info" sheetId="1" r:id="rId1"/>
    <sheet name="FMK_IO" sheetId="2" r:id="rId2"/>
    <sheet name="FMK_TIM" sheetId="3" r:id="rId3"/>
    <sheet name="FMK_CDA" sheetId="4" r:id="rId4"/>
    <sheet name="FMKMAC" sheetId="6" r:id="rId5"/>
    <sheet name="FMKCAN" sheetId="7" r:id="rId6"/>
    <sheet name="FMKSRL" sheetId="8" r:id="rId7"/>
    <sheet name="Feuil1" sheetId="5" r:id="rId8"/>
    <sheet name="Feuil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9" l="1"/>
  <c r="G27" i="9"/>
  <c r="G26" i="9"/>
  <c r="G25" i="9"/>
  <c r="G24" i="9"/>
  <c r="G23" i="9"/>
  <c r="G22" i="9"/>
  <c r="G21" i="9"/>
  <c r="F28" i="9"/>
  <c r="F21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<sst xmlns="http://schemas.openxmlformats.org/spreadsheetml/2006/main" count="1016" uniqueCount="455">
  <si>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</si>
  <si>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</si>
  <si>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</si>
  <si>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</si>
  <si>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</si>
  <si>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</si>
  <si>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</si>
  <si>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</si>
  <si>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</si>
  <si>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</si>
  <si>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</si>
  <si>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</si>
  <si>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</si>
  <si>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</si>
  <si>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</si>
  <si>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</si>
  <si>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</si>
  <si>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</si>
  <si>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</si>
  <si>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</si>
  <si>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</si>
  <si>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</si>
  <si>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</si>
  <si>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</si>
  <si>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</si>
  <si>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</si>
  <si>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</si>
  <si>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</si>
  <si>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</si>
  <si>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</si>
  <si>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</si>
  <si>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</si>
  <si>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</si>
  <si>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</si>
  <si>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</si>
  <si>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</si>
  <si>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</si>
  <si>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</si>
  <si>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</si>
  <si>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</si>
  <si>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</si>
  <si>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</si>
  <si>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</si>
  <si>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</si>
  <si>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</si>
  <si>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</si>
  <si>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</si>
  <si>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</si>
  <si>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</si>
  <si>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</si>
  <si>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</si>
  <si>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</si>
  <si>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</si>
  <si>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</si>
  <si>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</si>
  <si>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</si>
  <si>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</si>
  <si>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</si>
  <si>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</si>
  <si>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</si>
  <si>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</si>
  <si>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</si>
  <si>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</si>
  <si>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</si>
  <si>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</si>
  <si>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</si>
  <si>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</si>
  <si>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</si>
  <si>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</si>
  <si>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</si>
  <si>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</si>
  <si>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</si>
  <si>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</si>
  <si>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</si>
  <si>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</si>
  <si>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</si>
  <si>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</si>
  <si>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</si>
  <si>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</si>
  <si>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</si>
  <si>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</si>
  <si>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</si>
  <si>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</si>
  <si>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</si>
  <si>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</si>
  <si>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</si>
  <si>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</si>
  <si>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</si>
  <si>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</si>
  <si>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</si>
  <si>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</si>
  <si>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</si>
  <si>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</si>
  <si>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</si>
  <si>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</si>
  <si>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</si>
  <si>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</si>
  <si>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</si>
  <si>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</si>
  <si>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</si>
  <si>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</si>
  <si>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</si>
  <si>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</si>
  <si>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</si>
  <si>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</si>
  <si>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</si>
  <si>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</si>
  <si>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</si>
  <si>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</si>
  <si>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</si>
  <si>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</si>
  <si>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</si>
  <si>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</si>
  <si>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</si>
  <si>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</si>
  <si>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</si>
  <si>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</si>
  <si>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</si>
  <si>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</si>
  <si>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</si>
  <si>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</si>
  <si>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</si>
  <si>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</si>
  <si>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</si>
  <si>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</si>
  <si>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</si>
  <si>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</si>
  <si>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</si>
  <si>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</si>
  <si>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</si>
  <si>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</si>
  <si>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</si>
  <si>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</si>
  <si>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</si>
  <si>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</si>
  <si>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</si>
  <si>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</si>
  <si>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</si>
  <si>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</si>
  <si>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</si>
  <si>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</si>
  <si>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</si>
  <si>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</si>
  <si>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</si>
  <si>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</si>
  <si>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</si>
  <si>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</si>
  <si>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</si>
  <si>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</si>
  <si>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</si>
  <si>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</si>
  <si>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</si>
  <si>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</si>
  <si>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</si>
  <si>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</si>
  <si>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</si>
  <si>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</si>
  <si>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</si>
  <si>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</si>
  <si>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</si>
  <si>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</si>
  <si>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</si>
  <si>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</si>
  <si>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</si>
  <si>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</si>
  <si>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</si>
  <si>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</si>
  <si>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</si>
  <si>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</si>
  <si>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</si>
  <si>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</si>
  <si>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</si>
  <si>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</si>
  <si>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</si>
  <si>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</si>
  <si>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</si>
  <si>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</si>
  <si>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</si>
  <si>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</si>
  <si>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</si>
  <si>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</si>
  <si>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</si>
  <si>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</si>
  <si>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</si>
  <si>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</si>
  <si>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</si>
  <si>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</si>
  <si>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</si>
  <si>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</si>
  <si>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</si>
  <si>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</si>
  <si>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</si>
  <si>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</si>
  <si>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</si>
  <si>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</si>
  <si>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</si>
  <si>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</si>
  <si>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</si>
  <si>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</si>
  <si>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</si>
  <si>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</si>
  <si>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</si>
  <si>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</si>
  <si>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</si>
  <si>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</si>
  <si>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</si>
  <si>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</si>
  <si>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</si>
  <si>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</si>
  <si>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</si>
  <si>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</si>
  <si>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</si>
  <si>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</si>
  <si>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</si>
  <si>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</si>
  <si>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</si>
  <si>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</si>
  <si>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</si>
  <si>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</si>
  <si>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</si>
  <si>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</si>
  <si>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</si>
  <si>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</si>
  <si>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</si>
  <si>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</si>
  <si>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</si>
  <si>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</si>
  <si>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</si>
  <si>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</si>
  <si>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</si>
  <si>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</si>
  <si>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</si>
  <si>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</si>
  <si>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</si>
  <si>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</si>
  <si>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</si>
  <si>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</si>
  <si>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</si>
  <si>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</si>
  <si>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</si>
  <si>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</si>
  <si>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</si>
  <si>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</si>
  <si>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</si>
  <si>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</si>
  <si>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</si>
  <si>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</si>
  <si>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</si>
  <si>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</si>
  <si>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</si>
  <si>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</si>
  <si>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</si>
  <si>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</si>
  <si>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</si>
  <si>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</si>
  <si>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</si>
  <si>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</si>
  <si>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</si>
  <si>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</si>
  <si>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</si>
  <si>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</si>
  <si>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</si>
  <si>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</si>
  <si>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</si>
  <si>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</si>
  <si>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</si>
  <si>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</si>
  <si>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</si>
  <si>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</si>
  <si>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</si>
  <si>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</si>
  <si>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</si>
  <si>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</si>
  <si>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</si>
  <si>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</si>
  <si>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</si>
  <si>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</si>
  <si>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</si>
  <si>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</si>
  <si>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</si>
  <si>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</si>
  <si>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</si>
  <si>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</si>
  <si>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</si>
  <si>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</si>
  <si>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</si>
  <si>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</si>
  <si>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</si>
  <si>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</si>
  <si>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</si>
  <si>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</si>
  <si>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</si>
  <si>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</si>
  <si>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</si>
  <si>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</si>
  <si>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</si>
  <si>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</si>
  <si>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</si>
  <si>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</si>
  <si>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</si>
  <si>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</si>
  <si>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</si>
  <si>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</si>
  <si>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</si>
  <si>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</si>
  <si>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</si>
  <si>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</si>
  <si>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</si>
  <si>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</si>
  <si>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</si>
  <si>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</si>
  <si>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</si>
  <si>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</si>
  <si>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</si>
  <si>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</si>
  <si>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</si>
  <si>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</si>
  <si>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</si>
  <si>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</si>
  <si>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</si>
  <si>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</si>
  <si>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</si>
  <si>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</si>
  <si>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</si>
  <si>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</si>
  <si>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</si>
  <si>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</si>
  <si>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</si>
  <si>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</si>
  <si>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</si>
  <si>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</si>
  <si>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</si>
  <si>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</si>
  <si>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</si>
  <si>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</si>
  <si>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</si>
  <si>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</si>
  <si>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</si>
  <si>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</si>
  <si>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</si>
  <si>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</si>
  <si>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</si>
  <si>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</si>
  <si>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</si>
  <si>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</si>
  <si>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</si>
  <si>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</si>
  <si>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</si>
  <si>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</si>
  <si>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</si>
  <si>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</si>
  <si>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</si>
  <si>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</si>
  <si>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</si>
  <si>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</si>
  <si>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</si>
  <si>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</si>
  <si>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</si>
  <si>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</si>
  <si>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</si>
  <si>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</si>
  <si>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</si>
  <si>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</si>
  <si>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</si>
  <si>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</si>
  <si>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</si>
  <si>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</si>
  <si>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</si>
  <si>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</si>
  <si>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</si>
  <si>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</si>
  <si>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</si>
  <si>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</si>
  <si>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</si>
  <si>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</si>
  <si>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</si>
  <si>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</si>
  <si>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</si>
  <si>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</si>
  <si>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</si>
  <si>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</si>
  <si>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</si>
  <si>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</si>
  <si>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</si>
  <si>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</si>
  <si>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</si>
  <si>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</si>
  <si>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</si>
  <si>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</si>
  <si>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</si>
  <si>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</si>
  <si>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</si>
  <si>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</si>
  <si>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</si>
  <si>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</si>
  <si>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</si>
  <si>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</si>
  <si>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</si>
  <si>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</si>
  <si>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</si>
  <si>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</si>
  <si>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</si>
  <si>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</si>
  <si>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</si>
  <si>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</si>
  <si>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</si>
  <si>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</si>
  <si>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</si>
  <si>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</si>
  <si>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</si>
  <si>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</si>
  <si>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</si>
  <si>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</si>
  <si>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</si>
  <si>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</si>
  <si>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</si>
  <si>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</si>
  <si>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</si>
  <si>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</si>
  <si>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</si>
  <si>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</si>
  <si>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</si>
  <si>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</si>
  <si>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</si>
  <si>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</si>
  <si>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</si>
  <si>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</si>
  <si>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</si>
  <si>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</si>
  <si>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</si>
  <si>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</si>
  <si>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</si>
  <si>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GPIO_AF6_TIM20</t>
  </si>
  <si>
    <t>GPIO_AF2_TIM4</t>
  </si>
  <si>
    <t>TIM8_UP_IRQHandler</t>
  </si>
  <si>
    <t>EXTI2_IRQN</t>
  </si>
  <si>
    <t>EXTI9_5_IRQN</t>
  </si>
  <si>
    <t>JTAG User -&gt; PA14/PA13, PA15, PC1, PC0</t>
  </si>
  <si>
    <t>GPIO_AF6_TIM1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</si>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</sst>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T20:W25" totalsRowShown="0">
  <autoFilter ref="T20:W2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4" totalsRowShown="0">
  <autoFilter ref="A6:B14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Z7:AA16" totalsRowShown="0">
  <autoFilter ref="Z7:AA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V6:X8" totalsRowShown="0">
  <autoFilter ref="V6:X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T18" totalsRowShown="0">
  <autoFilter ref="P6:T18" xr:uid="{DE41CD30-BCBD-40FE-B5DD-848DAAA9C25B}"/>
  <tableColumns count="5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13" Type="http://schemas.openxmlformats.org/officeDocument/2006/relationships/table" Target="../tables/table24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12" Type="http://schemas.openxmlformats.org/officeDocument/2006/relationships/table" Target="../tables/table23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7.xml"/><Relationship Id="rId11" Type="http://schemas.openxmlformats.org/officeDocument/2006/relationships/table" Target="../tables/table22.xml"/><Relationship Id="rId5" Type="http://schemas.openxmlformats.org/officeDocument/2006/relationships/table" Target="../tables/table16.xml"/><Relationship Id="rId10" Type="http://schemas.openxmlformats.org/officeDocument/2006/relationships/table" Target="../tables/table21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8:AF119"/>
  <sheetViews>
    <sheetView topLeftCell="H15" zoomScale="99" zoomScaleNormal="115" workbookViewId="0">
      <selection activeCell="L26" sqref="L26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20" max="20" width="21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T20" t="s">
        <v>17</v>
      </c>
      <c r="U20" t="s">
        <v>18</v>
      </c>
      <c r="V20" t="s">
        <v>275</v>
      </c>
      <c r="W20" t="s">
        <v>276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T21" t="s">
        <v>16</v>
      </c>
      <c r="U21">
        <v>18</v>
      </c>
      <c r="V21" t="s">
        <v>138</v>
      </c>
      <c r="W21" t="s">
        <v>237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T22" t="s">
        <v>261</v>
      </c>
      <c r="U22">
        <v>18</v>
      </c>
      <c r="V22" t="s">
        <v>138</v>
      </c>
      <c r="W22" t="s">
        <v>237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  <c r="T23" t="s">
        <v>262</v>
      </c>
      <c r="U23">
        <v>18</v>
      </c>
      <c r="V23" t="s">
        <v>161</v>
      </c>
      <c r="W23" t="s">
        <v>238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  <c r="T24" t="s">
        <v>263</v>
      </c>
      <c r="U24">
        <v>18</v>
      </c>
      <c r="V24" t="s">
        <v>175</v>
      </c>
      <c r="W24" t="s">
        <v>238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  <c r="T25" t="s">
        <v>264</v>
      </c>
      <c r="U25">
        <v>18</v>
      </c>
      <c r="V25" t="s">
        <v>176</v>
      </c>
      <c r="W25" t="s">
        <v>238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2" zoomScaleNormal="100" workbookViewId="0">
      <selection activeCell="AA13" sqref="AA13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7" x14ac:dyDescent="0.3">
      <c r="A2" s="1" t="s">
        <v>439</v>
      </c>
      <c r="C2" s="5" t="s">
        <v>437</v>
      </c>
    </row>
    <row r="5" spans="1:27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7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V6" t="s">
        <v>23</v>
      </c>
      <c r="W6" t="s">
        <v>24</v>
      </c>
      <c r="X6" t="s">
        <v>47</v>
      </c>
      <c r="Z6" t="s">
        <v>37</v>
      </c>
    </row>
    <row r="7" spans="1:27" x14ac:dyDescent="0.3">
      <c r="A7" t="s">
        <v>13</v>
      </c>
      <c r="B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11</v>
      </c>
      <c r="Q7" t="s">
        <v>34</v>
      </c>
      <c r="R7" t="s">
        <v>438</v>
      </c>
      <c r="S7" t="s">
        <v>4</v>
      </c>
      <c r="T7" t="s">
        <v>46</v>
      </c>
      <c r="V7" t="s">
        <v>12</v>
      </c>
      <c r="W7" t="s">
        <v>27</v>
      </c>
      <c r="X7" t="s">
        <v>435</v>
      </c>
      <c r="Z7" t="s">
        <v>23</v>
      </c>
      <c r="AA7" t="s">
        <v>24</v>
      </c>
    </row>
    <row r="8" spans="1:27" x14ac:dyDescent="0.3">
      <c r="A8" t="s">
        <v>13</v>
      </c>
      <c r="B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11</v>
      </c>
      <c r="Q8" t="s">
        <v>35</v>
      </c>
      <c r="R8" t="s">
        <v>438</v>
      </c>
      <c r="S8" t="s">
        <v>4</v>
      </c>
      <c r="T8" t="s">
        <v>92</v>
      </c>
      <c r="V8" t="s">
        <v>12</v>
      </c>
      <c r="W8" t="s">
        <v>30</v>
      </c>
      <c r="X8" t="s">
        <v>436</v>
      </c>
      <c r="Z8" t="s">
        <v>12</v>
      </c>
      <c r="AA8" t="s">
        <v>35</v>
      </c>
    </row>
    <row r="9" spans="1:27" x14ac:dyDescent="0.3">
      <c r="A9" t="s">
        <v>13</v>
      </c>
      <c r="B9" t="s">
        <v>38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28</v>
      </c>
      <c r="L9" t="s">
        <v>283</v>
      </c>
      <c r="M9" t="s">
        <v>5</v>
      </c>
      <c r="N9" t="s">
        <v>45</v>
      </c>
      <c r="P9" t="s">
        <v>13</v>
      </c>
      <c r="Q9" t="s">
        <v>27</v>
      </c>
      <c r="R9" t="s">
        <v>432</v>
      </c>
      <c r="S9" t="s">
        <v>256</v>
      </c>
      <c r="T9" t="s">
        <v>46</v>
      </c>
      <c r="Z9" t="s">
        <v>12</v>
      </c>
      <c r="AA9" t="s">
        <v>36</v>
      </c>
    </row>
    <row r="10" spans="1:27" x14ac:dyDescent="0.3">
      <c r="A10" t="s">
        <v>13</v>
      </c>
      <c r="B10" t="s">
        <v>39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29</v>
      </c>
      <c r="L10" t="s">
        <v>283</v>
      </c>
      <c r="M10" t="s">
        <v>5</v>
      </c>
      <c r="N10" t="s">
        <v>46</v>
      </c>
      <c r="P10" t="s">
        <v>13</v>
      </c>
      <c r="Q10" t="s">
        <v>28</v>
      </c>
      <c r="R10" t="s">
        <v>430</v>
      </c>
      <c r="S10" t="s">
        <v>4</v>
      </c>
      <c r="T10" t="s">
        <v>50</v>
      </c>
      <c r="Z10" t="s">
        <v>12</v>
      </c>
      <c r="AA10" t="s">
        <v>38</v>
      </c>
    </row>
    <row r="11" spans="1:27" x14ac:dyDescent="0.3">
      <c r="A11" t="s">
        <v>13</v>
      </c>
      <c r="B11" t="s">
        <v>40</v>
      </c>
      <c r="E11" t="s">
        <v>12</v>
      </c>
      <c r="F11" t="s">
        <v>41</v>
      </c>
      <c r="G11" t="s">
        <v>261</v>
      </c>
      <c r="H11" t="s">
        <v>109</v>
      </c>
      <c r="P11" t="s">
        <v>13</v>
      </c>
      <c r="Q11" t="s">
        <v>31</v>
      </c>
      <c r="R11" t="s">
        <v>431</v>
      </c>
      <c r="S11" t="s">
        <v>255</v>
      </c>
      <c r="T11" t="s">
        <v>45</v>
      </c>
      <c r="Z11" t="s">
        <v>12</v>
      </c>
      <c r="AA11" t="s">
        <v>39</v>
      </c>
    </row>
    <row r="12" spans="1:27" x14ac:dyDescent="0.3">
      <c r="A12" t="s">
        <v>13</v>
      </c>
      <c r="B12" t="s">
        <v>41</v>
      </c>
      <c r="P12" t="s">
        <v>13</v>
      </c>
      <c r="Q12" t="s">
        <v>32</v>
      </c>
      <c r="R12" t="s">
        <v>431</v>
      </c>
      <c r="S12" t="s">
        <v>255</v>
      </c>
      <c r="T12" t="s">
        <v>46</v>
      </c>
      <c r="Z12" t="s">
        <v>12</v>
      </c>
      <c r="AA12" t="s">
        <v>40</v>
      </c>
    </row>
    <row r="13" spans="1:27" x14ac:dyDescent="0.3">
      <c r="A13" t="s">
        <v>11</v>
      </c>
      <c r="B13" t="s">
        <v>25</v>
      </c>
      <c r="P13" t="s">
        <v>13</v>
      </c>
      <c r="Q13" t="s">
        <v>33</v>
      </c>
      <c r="R13" t="s">
        <v>432</v>
      </c>
      <c r="S13" t="s">
        <v>256</v>
      </c>
      <c r="T13" t="s">
        <v>92</v>
      </c>
      <c r="Z13" t="s">
        <v>11</v>
      </c>
      <c r="AA13" t="s">
        <v>33</v>
      </c>
    </row>
    <row r="14" spans="1:27" x14ac:dyDescent="0.3">
      <c r="A14" t="s">
        <v>11</v>
      </c>
      <c r="B14" t="s">
        <v>26</v>
      </c>
      <c r="P14" t="s">
        <v>13</v>
      </c>
      <c r="Q14" t="s">
        <v>34</v>
      </c>
      <c r="R14" t="s">
        <v>431</v>
      </c>
      <c r="S14" t="s">
        <v>255</v>
      </c>
      <c r="T14" t="s">
        <v>50</v>
      </c>
      <c r="Z14" t="s">
        <v>11</v>
      </c>
      <c r="AA14" t="s">
        <v>36</v>
      </c>
    </row>
    <row r="15" spans="1:27" x14ac:dyDescent="0.3">
      <c r="P15" t="s">
        <v>12</v>
      </c>
      <c r="Q15" t="s">
        <v>31</v>
      </c>
      <c r="R15" t="s">
        <v>433</v>
      </c>
      <c r="S15" t="s">
        <v>252</v>
      </c>
      <c r="T15" t="s">
        <v>45</v>
      </c>
      <c r="Z15" t="s">
        <v>11</v>
      </c>
      <c r="AA15" t="s">
        <v>38</v>
      </c>
    </row>
    <row r="16" spans="1:27" x14ac:dyDescent="0.3">
      <c r="P16" t="s">
        <v>12</v>
      </c>
      <c r="Q16" t="s">
        <v>32</v>
      </c>
      <c r="R16" t="s">
        <v>433</v>
      </c>
      <c r="S16" t="s">
        <v>252</v>
      </c>
      <c r="T16" t="s">
        <v>46</v>
      </c>
      <c r="Z16" t="s">
        <v>14</v>
      </c>
      <c r="AA16" t="s">
        <v>27</v>
      </c>
    </row>
    <row r="17" spans="1:53" x14ac:dyDescent="0.3">
      <c r="P17" t="s">
        <v>12</v>
      </c>
      <c r="Q17" t="s">
        <v>33</v>
      </c>
      <c r="R17" t="s">
        <v>433</v>
      </c>
      <c r="S17" t="s">
        <v>252</v>
      </c>
      <c r="T17" t="s">
        <v>92</v>
      </c>
    </row>
    <row r="18" spans="1:53" x14ac:dyDescent="0.3">
      <c r="P18" t="s">
        <v>12</v>
      </c>
      <c r="Q18" t="s">
        <v>34</v>
      </c>
      <c r="R18" t="s">
        <v>433</v>
      </c>
      <c r="S18" t="s">
        <v>252</v>
      </c>
      <c r="T18" t="s">
        <v>50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3">
    <dataValidation type="list" allowBlank="1" showInputMessage="1" showErrorMessage="1" sqref="AW46 K7:K10 Q7:Q14 F7:F11 B7:B14 W7:W8 AA8:AA16" xr:uid="{14BC2D73-1395-4E2C-9D1E-55C781825C64}">
      <formula1>$AW$30:$AW$45</formula1>
    </dataValidation>
    <dataValidation type="list" allowBlank="1" showInputMessage="1" showErrorMessage="1" sqref="T7:T14 N7:N10" xr:uid="{727A5344-B28A-4866-9EC1-7C96029AF8B6}">
      <formula1>$AY$31:$AY$34</formula1>
    </dataValidation>
    <dataValidation type="list" allowBlank="1" showInputMessage="1" showErrorMessage="1" sqref="H7:H11" xr:uid="{FFFA1AF2-B35F-4BAA-AEF6-4A6121806F8D}">
      <formula1>$BA$30:$BA$47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00DA78-9682-47F8-B701-D35809CE3FB0}">
          <x14:formula1>
            <xm:f>General_Info!$P$34:$P$39</xm:f>
          </x14:formula1>
          <xm:sqref>P7:P14 J7:J10 E7:E11 A7:A14 V7:V8 Z8:Z16</xm:sqref>
        </x14:dataValidation>
        <x14:dataValidation type="list" allowBlank="1" showInputMessage="1" showErrorMessage="1" xr:uid="{3C428027-B16D-4B04-9CB2-8290577ED0FB}">
          <x14:formula1>
            <xm:f>General_Info!$T$21:$T$25</xm:f>
          </x14:formula1>
          <xm:sqref>G6:G11</xm:sqref>
        </x14:dataValidation>
        <x14:dataValidation type="list" allowBlank="1" showInputMessage="1" showErrorMessage="1" xr:uid="{1C3D18C3-7241-4088-8034-07AAE0EB53A9}">
          <x14:formula1>
            <xm:f>General_Info!$K$19:$K$30</xm:f>
          </x14:formula1>
          <xm:sqref>S7:S14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115" zoomScaleNormal="115" workbookViewId="0">
      <selection activeCell="F16" sqref="F16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7</v>
      </c>
      <c r="C5" t="s">
        <v>45</v>
      </c>
      <c r="F5" t="s">
        <v>348</v>
      </c>
      <c r="G5" t="s">
        <v>6</v>
      </c>
    </row>
    <row r="6" spans="2:7" x14ac:dyDescent="0.3">
      <c r="B6" t="s">
        <v>8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434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General_Info!$T$21:$T$25</xm:f>
          </x14:formula1>
          <xm:sqref>K4:K5 U4:U8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O28"/>
  <sheetViews>
    <sheetView tabSelected="1" topLeftCell="C11" zoomScale="130" zoomScaleNormal="130" workbookViewId="0">
      <selection activeCell="N21" sqref="N21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440</v>
      </c>
    </row>
    <row r="5" spans="2:15" x14ac:dyDescent="0.3">
      <c r="J5" t="s">
        <v>452</v>
      </c>
      <c r="K5" t="s">
        <v>453</v>
      </c>
      <c r="L5" t="s">
        <v>454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7" x14ac:dyDescent="0.3">
      <c r="E20" s="9" t="s">
        <v>449</v>
      </c>
      <c r="F20" s="9" t="s">
        <v>451</v>
      </c>
      <c r="G20" s="10" t="s">
        <v>450</v>
      </c>
    </row>
    <row r="21" spans="5:7" x14ac:dyDescent="0.3">
      <c r="E21" s="7" t="s">
        <v>441</v>
      </c>
      <c r="F21" s="7">
        <f>$J$6 *$O$8 / $K$6</f>
        <v>4000000</v>
      </c>
      <c r="G21" s="7">
        <f>$J$6 *$O$8 / $L$6</f>
        <v>64000</v>
      </c>
    </row>
    <row r="22" spans="5:7" x14ac:dyDescent="0.3">
      <c r="E22" s="8" t="s">
        <v>442</v>
      </c>
      <c r="F22" s="8">
        <f>$J$6 *$O$9 / $K$6</f>
        <v>2000000</v>
      </c>
      <c r="G22" s="8">
        <f>$J$6 *$O$9 / $L$6</f>
        <v>32000</v>
      </c>
    </row>
    <row r="23" spans="5:7" x14ac:dyDescent="0.3">
      <c r="E23" s="7" t="s">
        <v>443</v>
      </c>
      <c r="F23" s="7">
        <f>$J$6 *$O$10 / $K$6</f>
        <v>1000000</v>
      </c>
      <c r="G23" s="7">
        <f>$J$6 *$O$10 / $L$6</f>
        <v>16000</v>
      </c>
    </row>
    <row r="24" spans="5:7" x14ac:dyDescent="0.3">
      <c r="E24" s="8" t="s">
        <v>444</v>
      </c>
      <c r="F24" s="8">
        <f>$J$6 *$O$11 / $K$6</f>
        <v>500000</v>
      </c>
      <c r="G24" s="8">
        <f>$J$6 *$O$11 / $L$6</f>
        <v>8000</v>
      </c>
    </row>
    <row r="25" spans="5:7" x14ac:dyDescent="0.3">
      <c r="E25" s="7" t="s">
        <v>445</v>
      </c>
      <c r="F25" s="7">
        <f>$J$6 *$O$12 / $K$6</f>
        <v>250000</v>
      </c>
      <c r="G25" s="7">
        <f>$J$6 *$O$12 / $L$6</f>
        <v>4000</v>
      </c>
    </row>
    <row r="26" spans="5:7" x14ac:dyDescent="0.3">
      <c r="E26" s="8" t="s">
        <v>446</v>
      </c>
      <c r="F26" s="8">
        <f>$J$6 *$O$13 / $K$6</f>
        <v>125000</v>
      </c>
      <c r="G26" s="8">
        <f>$J$6 *$O$13 / $L$6</f>
        <v>2000</v>
      </c>
    </row>
    <row r="27" spans="5:7" x14ac:dyDescent="0.3">
      <c r="E27" s="7" t="s">
        <v>447</v>
      </c>
      <c r="F27" s="7">
        <f>$J$6 / $O$14 / $K$6</f>
        <v>62500</v>
      </c>
      <c r="G27" s="7">
        <f>$J$6 / $O$14 / $L$6</f>
        <v>1000</v>
      </c>
    </row>
    <row r="28" spans="5:7" x14ac:dyDescent="0.3">
      <c r="E28" s="11" t="s">
        <v>448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General_Info</vt:lpstr>
      <vt:lpstr>FMK_IO</vt:lpstr>
      <vt:lpstr>FMK_TIM</vt:lpstr>
      <vt:lpstr>FMK_CDA</vt:lpstr>
      <vt:lpstr>FMKMAC</vt:lpstr>
      <vt:lpstr>FMKCAN</vt:lpstr>
      <vt:lpstr>FMKSRL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2025-03-02T18:19:42Z</dcterms:modified>
</cp:coreProperties>
</file>