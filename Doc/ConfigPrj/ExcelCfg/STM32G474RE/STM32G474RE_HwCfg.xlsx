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f_designHRTIM\Doc\ConfigPrj\ExcelCfg\STM32G474RE\"/>
    </mc:Choice>
  </mc:AlternateContent>
  <xr:revisionPtr revIDLastSave="0" documentId="13_ncr:1_{97331EB3-762D-4DBF-B000-730BFE77A53B}" xr6:coauthVersionLast="47" xr6:coauthVersionMax="47" xr10:uidLastSave="{00000000-0000-0000-0000-000000000000}"/>
  <bookViews>
    <workbookView xWindow="28680" yWindow="-120" windowWidth="29040" windowHeight="15720" activeTab="8" xr2:uid="{2AF09063-600F-437A-B138-F66136E922A5}"/>
  </bookViews>
  <sheets>
    <sheet name="General_Info" sheetId="1" r:id="rId1"/>
    <sheet name="FMK_IO" sheetId="2" r:id="rId2"/>
    <sheet name="FMK_TIM" sheetId="3" r:id="rId3"/>
    <sheet name="FMK_CDA" sheetId="4" r:id="rId4"/>
    <sheet name="FMKMAC" sheetId="6" r:id="rId5"/>
    <sheet name="FMKCAN" sheetId="7" r:id="rId6"/>
    <sheet name="FMKSRL" sheetId="8" r:id="rId7"/>
    <sheet name="Feuil1" sheetId="5" r:id="rId8"/>
    <sheet name="HRTIM_FreqHelp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9" l="1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G8" i="5"/>
  <c r="D16" i="5"/>
  <c r="J8" i="5"/>
  <c r="J14" i="5"/>
  <c r="J15" i="5" s="1"/>
  <c r="M31" i="5"/>
  <c r="I61" i="5"/>
  <c r="I33" i="5"/>
  <c r="K33" i="5" s="1"/>
  <c r="L32" i="5"/>
  <c r="K32" i="5"/>
  <c r="M32" i="5" s="1"/>
  <c r="L31" i="5"/>
  <c r="K31" i="5"/>
  <c r="P30" i="5"/>
  <c r="K29" i="5"/>
  <c r="D18" i="5"/>
  <c r="J18" i="5" l="1"/>
  <c r="M9" i="5"/>
  <c r="L13" i="5" s="1"/>
  <c r="L18" i="5" s="1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D13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<sst xmlns="http://schemas.openxmlformats.org/spreadsheetml/2006/main" count="1017" uniqueCount="455">
  <si>
    <t>Colonne1</t>
  </si>
  <si>
    <t>Colonne2</t>
  </si>
  <si>
    <t>Timer_name</t>
  </si>
  <si>
    <t>Number of channels</t>
  </si>
  <si>
    <t>TIMER_1</t>
  </si>
  <si>
    <t>TIMER_3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</si>
  <si>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</si>
  <si>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</si>
  <si>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</si>
  <si>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</si>
  <si>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</si>
  <si>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</si>
  <si>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</si>
  <si>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</si>
  <si>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</si>
  <si>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</si>
  <si>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</si>
  <si>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</si>
  <si>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</si>
  <si>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</si>
  <si>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</si>
  <si>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</si>
  <si>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</si>
  <si>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</si>
  <si>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</si>
  <si>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</si>
  <si>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</si>
  <si>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</si>
  <si>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</si>
  <si>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</si>
  <si>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</si>
  <si>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</si>
  <si>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</si>
  <si>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</si>
  <si>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</si>
  <si>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</si>
  <si>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</si>
  <si>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</si>
  <si>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</si>
  <si>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</si>
  <si>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</si>
  <si>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</si>
  <si>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</si>
  <si>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</si>
  <si>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</si>
  <si>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</si>
  <si>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</si>
  <si>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</si>
  <si>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</si>
  <si>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</si>
  <si>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</si>
  <si>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</si>
  <si>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</si>
  <si>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</si>
  <si>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</si>
  <si>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</si>
  <si>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</si>
  <si>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</si>
  <si>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</si>
  <si>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</si>
  <si>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</si>
  <si>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</si>
  <si>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</si>
  <si>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</si>
  <si>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</si>
  <si>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</si>
  <si>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</si>
  <si>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</si>
  <si>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</si>
  <si>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</si>
  <si>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</si>
  <si>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</si>
  <si>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</si>
  <si>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</si>
  <si>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</si>
  <si>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</si>
  <si>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</si>
  <si>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</si>
  <si>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</si>
  <si>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</si>
  <si>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</si>
  <si>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</si>
  <si>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</si>
  <si>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</si>
  <si>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</si>
  <si>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</si>
  <si>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</si>
  <si>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</si>
  <si>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</si>
  <si>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</si>
  <si>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</si>
  <si>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</si>
  <si>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</si>
  <si>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</si>
  <si>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</si>
  <si>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</si>
  <si>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</si>
  <si>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</si>
  <si>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</si>
  <si>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</si>
  <si>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</si>
  <si>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</si>
  <si>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</si>
  <si>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</si>
  <si>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</si>
  <si>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</si>
  <si>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</si>
  <si>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</si>
  <si>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</si>
  <si>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</si>
  <si>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</si>
  <si>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</si>
  <si>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</si>
  <si>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</si>
  <si>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</si>
  <si>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</si>
  <si>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</si>
  <si>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</si>
  <si>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</si>
  <si>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</si>
  <si>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</si>
  <si>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</si>
  <si>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</si>
  <si>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</si>
  <si>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</si>
  <si>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</si>
  <si>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</si>
  <si>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</si>
  <si>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</si>
  <si>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</si>
  <si>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</si>
  <si>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</si>
  <si>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</si>
  <si>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</si>
  <si>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</si>
  <si>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</si>
  <si>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</si>
  <si>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</si>
  <si>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</si>
  <si>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</si>
  <si>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</si>
  <si>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</si>
  <si>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</si>
  <si>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</si>
  <si>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</si>
  <si>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</si>
  <si>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</si>
  <si>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</si>
  <si>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</si>
  <si>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</si>
  <si>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</si>
  <si>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</si>
  <si>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</si>
  <si>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</si>
  <si>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</si>
  <si>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</si>
  <si>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</si>
  <si>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</si>
  <si>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</si>
  <si>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</si>
  <si>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</si>
  <si>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</si>
  <si>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</si>
  <si>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</si>
  <si>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</si>
  <si>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</si>
  <si>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</si>
  <si>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</si>
  <si>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</si>
  <si>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</si>
  <si>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</si>
  <si>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</si>
  <si>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</si>
  <si>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</si>
  <si>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</si>
  <si>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</si>
  <si>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</si>
  <si>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</si>
  <si>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</si>
  <si>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</si>
  <si>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</si>
  <si>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</si>
  <si>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</si>
  <si>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</si>
  <si>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</si>
  <si>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</si>
  <si>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</si>
  <si>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</si>
  <si>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</si>
  <si>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</si>
  <si>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</si>
  <si>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</si>
  <si>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</si>
  <si>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</si>
  <si>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</si>
  <si>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</si>
  <si>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</si>
  <si>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</si>
  <si>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</si>
  <si>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</si>
  <si>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</si>
  <si>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</si>
  <si>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</si>
  <si>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</si>
  <si>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</si>
  <si>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</si>
  <si>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</si>
  <si>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</si>
  <si>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</si>
  <si>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</si>
  <si>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</si>
  <si>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</si>
  <si>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</si>
  <si>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</si>
  <si>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</si>
  <si>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</si>
  <si>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</si>
  <si>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</si>
  <si>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</si>
  <si>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</si>
  <si>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</si>
  <si>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</si>
  <si>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</si>
  <si>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</si>
  <si>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</si>
  <si>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</si>
  <si>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</si>
  <si>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</si>
  <si>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</si>
  <si>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</si>
  <si>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</si>
  <si>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</si>
  <si>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</si>
  <si>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</si>
  <si>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</si>
  <si>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</si>
  <si>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</si>
  <si>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</si>
  <si>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</si>
  <si>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</si>
  <si>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</si>
  <si>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</si>
  <si>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</si>
  <si>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</si>
  <si>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</si>
  <si>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</si>
  <si>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</si>
  <si>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</si>
  <si>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</si>
  <si>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</si>
  <si>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</si>
  <si>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TIMER_2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</si>
  <si>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</si>
  <si>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</si>
  <si>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</si>
  <si>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</si>
  <si>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</si>
  <si>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</si>
  <si>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</si>
  <si>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</si>
  <si>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</si>
  <si>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</si>
  <si>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</si>
  <si>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</si>
  <si>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</si>
  <si>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</si>
  <si>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</si>
  <si>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</si>
  <si>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</si>
  <si>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</si>
  <si>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</si>
  <si>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</si>
  <si>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</si>
  <si>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</si>
  <si>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</si>
  <si>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</si>
  <si>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</si>
  <si>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</si>
  <si>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</si>
  <si>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</si>
  <si>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</si>
  <si>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</si>
  <si>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</si>
  <si>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GPIO_AF2_TIM3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</si>
  <si>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</si>
  <si>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</si>
  <si>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</si>
  <si>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</si>
  <si>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</si>
  <si>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</si>
  <si>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</si>
  <si>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</si>
  <si>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</si>
  <si>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</si>
  <si>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</si>
  <si>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</si>
  <si>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</si>
  <si>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</si>
  <si>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</si>
  <si>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</si>
  <si>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</si>
  <si>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</si>
  <si>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</si>
  <si>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</si>
  <si>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</si>
  <si>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</si>
  <si>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</si>
  <si>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</si>
  <si>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</si>
  <si>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</si>
  <si>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</si>
  <si>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</si>
  <si>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</si>
  <si>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</si>
  <si>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</si>
  <si>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</si>
  <si>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</si>
  <si>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</si>
  <si>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</si>
  <si>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</si>
  <si>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</si>
  <si>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</si>
  <si>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</si>
  <si>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</si>
  <si>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</si>
  <si>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</si>
  <si>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</si>
  <si>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</si>
  <si>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</si>
  <si>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</si>
  <si>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</si>
  <si>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</si>
  <si>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</si>
  <si>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</si>
  <si>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</si>
  <si>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</si>
  <si>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</si>
  <si>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</si>
  <si>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</si>
  <si>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</si>
  <si>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</si>
  <si>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</si>
  <si>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</si>
  <si>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</si>
  <si>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SERIAL CONFIGURATION</t>
  </si>
  <si>
    <t>GPIO_AF7_USART2</t>
  </si>
  <si>
    <t>GPIO_AF5_UART4</t>
  </si>
  <si>
    <t>UART/USART REF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</si>
  <si>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</si>
  <si>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</si>
  <si>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</si>
  <si>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</si>
  <si>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</si>
  <si>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</si>
  <si>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</si>
  <si>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</si>
  <si>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</si>
  <si>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</si>
  <si>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</si>
  <si>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</si>
  <si>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</si>
  <si>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</si>
  <si>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</si>
  <si>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</si>
  <si>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</si>
  <si>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</si>
  <si>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</si>
  <si>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</si>
  <si>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</si>
  <si>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</si>
  <si>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</si>
  <si>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</si>
  <si>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</si>
  <si>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</si>
  <si>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</si>
  <si>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</si>
  <si>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</si>
  <si>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</si>
  <si>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</si>
  <si>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</si>
  <si>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</si>
  <si>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</si>
  <si>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</si>
  <si>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</si>
  <si>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</si>
  <si>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</si>
  <si>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</si>
  <si>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</si>
  <si>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</si>
  <si>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</si>
  <si>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</si>
  <si>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</si>
  <si>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</si>
  <si>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</si>
  <si>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</si>
  <si>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</si>
  <si>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</si>
  <si>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</si>
  <si>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</si>
  <si>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</si>
  <si>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</si>
  <si>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</si>
  <si>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</si>
  <si>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</si>
  <si>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</si>
  <si>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</si>
  <si>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</si>
  <si>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</si>
  <si>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</si>
  <si>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</si>
  <si>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</si>
  <si>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</si>
  <si>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</si>
  <si>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</si>
  <si>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</si>
  <si>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</si>
  <si>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</si>
  <si>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</si>
  <si>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</si>
  <si>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</si>
  <si>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</si>
  <si>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</si>
  <si>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</si>
  <si>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</si>
  <si>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</si>
  <si>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</si>
  <si>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</si>
  <si>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</si>
  <si>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</si>
  <si>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</si>
  <si>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</si>
  <si>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</si>
  <si>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GPIO_AF6_TIM20</t>
  </si>
  <si>
    <t>GPIO_AF2_TIM4</t>
  </si>
  <si>
    <t>TIM8_UP_IRQHandler</t>
  </si>
  <si>
    <t>EXTI2_IRQN</t>
  </si>
  <si>
    <t>EXTI9_5_IRQN</t>
  </si>
  <si>
    <t>JTAG User -&gt; PA14/PA13, PA15, PC1, PC0</t>
  </si>
  <si>
    <t>GPIO_AF6_TIM1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</si>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</sst>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T20:W25" totalsRowShown="0">
  <autoFilter ref="T20:W25" xr:uid="{A27CADD5-26F4-4DF6-9D41-CEE02A85C4E9}"/>
  <tableColumns count="4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F40:AF43" totalsRowShown="0">
  <autoFilter ref="AF40:AF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14" totalsRowShown="0">
  <autoFilter ref="A6:B14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Z7:AA16" totalsRowShown="0">
  <autoFilter ref="Z7:AA16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10" totalsRowShown="0">
  <autoFilter ref="J6:N10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V6:X8" totalsRowShown="0">
  <autoFilter ref="V6:X8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T18" totalsRowShown="0">
  <autoFilter ref="P6:T18" xr:uid="{DE41CD30-BCBD-40FE-B5DD-848DAAA9C25B}"/>
  <tableColumns count="5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1" totalsRowShown="0">
  <autoFilter ref="E6:H11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7" totalsRowShown="0">
  <autoFilter ref="BA29:BA47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A25:F28" totalsRowShown="0">
  <autoFilter ref="A25:F2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978057A4-13F6-44F3-B65B-2C409866E1DE}" name="FMKIO_SerialCfg" displayName="FMKIO_SerialCfg" ref="A34:F36" totalsRowShown="0">
  <autoFilter ref="A34:F36" xr:uid="{978057A4-13F6-44F3-B65B-2C409866E1DE}"/>
  <tableColumns count="6">
    <tableColumn id="1" xr3:uid="{24FCFF33-29FB-4C97-8C6A-E82227514712}" name="Rx_GPIO_name"/>
    <tableColumn id="4" xr3:uid="{12CA2E7A-25CB-4594-B099-0C3300125F20}" name="RxPin_name"/>
    <tableColumn id="6" xr3:uid="{D003CF17-D1FC-4925-A150-971DDF359F41}" name="Tx_Gpio_Name"/>
    <tableColumn id="5" xr3:uid="{14396C2C-537A-4355-B49A-DC2EB4D94AF0}" name="Tx_Pin_Name"/>
    <tableColumn id="2" xr3:uid="{EBD561D8-5769-44A2-9D68-D1A8F057FDD0}" name="alternate function timer"/>
    <tableColumn id="7" xr3:uid="{9DFBCFF1-0113-4C17-8011-2570BD8C9102}" name="UART/USART REF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9:W36" totalsRowShown="0">
  <autoFilter ref="W29:W36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L5" totalsRowShown="0">
  <autoFilter ref="I3:L5" xr:uid="{A4F27ADC-56A6-479B-93EF-D6AA72368D72}"/>
  <tableColumns count="4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S3:V8" totalsRowShown="0">
  <autoFilter ref="S3:V8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2" totalsRowShown="0">
  <autoFilter ref="B2:E12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Tableau35" displayName="Tableau35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13" Type="http://schemas.openxmlformats.org/officeDocument/2006/relationships/table" Target="../tables/table24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12" Type="http://schemas.openxmlformats.org/officeDocument/2006/relationships/table" Target="../tables/table23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7.xml"/><Relationship Id="rId11" Type="http://schemas.openxmlformats.org/officeDocument/2006/relationships/table" Target="../tables/table22.xml"/><Relationship Id="rId5" Type="http://schemas.openxmlformats.org/officeDocument/2006/relationships/table" Target="../tables/table16.xml"/><Relationship Id="rId10" Type="http://schemas.openxmlformats.org/officeDocument/2006/relationships/table" Target="../tables/table21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8:AF119"/>
  <sheetViews>
    <sheetView topLeftCell="H15" zoomScale="99" zoomScaleNormal="115" workbookViewId="0">
      <selection activeCell="L26" sqref="L26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20" max="20" width="21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8" max="28" width="24" customWidth="1"/>
    <col min="31" max="31" width="17.77734375" customWidth="1"/>
  </cols>
  <sheetData>
    <row r="18" spans="1:30" x14ac:dyDescent="0.3">
      <c r="B18" t="s">
        <v>122</v>
      </c>
      <c r="D18" t="s">
        <v>21</v>
      </c>
      <c r="E18" t="s">
        <v>297</v>
      </c>
      <c r="F18" t="s">
        <v>403</v>
      </c>
      <c r="H18" t="s">
        <v>57</v>
      </c>
      <c r="I18" t="s">
        <v>58</v>
      </c>
      <c r="K18" t="s">
        <v>2</v>
      </c>
      <c r="L18" t="s">
        <v>3</v>
      </c>
      <c r="M18" t="s">
        <v>269</v>
      </c>
      <c r="N18" t="s">
        <v>270</v>
      </c>
      <c r="O18" t="s">
        <v>296</v>
      </c>
    </row>
    <row r="19" spans="1:30" x14ac:dyDescent="0.3">
      <c r="B19" t="s">
        <v>123</v>
      </c>
      <c r="D19" t="s">
        <v>85</v>
      </c>
      <c r="E19" t="s">
        <v>304</v>
      </c>
      <c r="F19" t="s">
        <v>401</v>
      </c>
      <c r="H19" t="s">
        <v>59</v>
      </c>
      <c r="I19" t="s">
        <v>69</v>
      </c>
      <c r="K19" t="s">
        <v>4</v>
      </c>
      <c r="L19">
        <v>4</v>
      </c>
      <c r="M19" t="s">
        <v>145</v>
      </c>
      <c r="N19" t="s">
        <v>272</v>
      </c>
      <c r="O19" t="s">
        <v>295</v>
      </c>
    </row>
    <row r="20" spans="1:30" x14ac:dyDescent="0.3">
      <c r="D20" t="s">
        <v>230</v>
      </c>
      <c r="E20" t="s">
        <v>304</v>
      </c>
      <c r="F20" t="s">
        <v>401</v>
      </c>
      <c r="H20" t="s">
        <v>124</v>
      </c>
      <c r="I20" t="s">
        <v>69</v>
      </c>
      <c r="K20" t="s">
        <v>251</v>
      </c>
      <c r="L20">
        <v>4</v>
      </c>
      <c r="M20" t="s">
        <v>147</v>
      </c>
      <c r="N20" t="s">
        <v>272</v>
      </c>
      <c r="O20" t="s">
        <v>294</v>
      </c>
      <c r="T20" t="s">
        <v>17</v>
      </c>
      <c r="U20" t="s">
        <v>18</v>
      </c>
      <c r="V20" t="s">
        <v>275</v>
      </c>
      <c r="W20" t="s">
        <v>276</v>
      </c>
      <c r="AB20" t="s">
        <v>22</v>
      </c>
      <c r="AC20" t="s">
        <v>18</v>
      </c>
      <c r="AD20" t="s">
        <v>276</v>
      </c>
    </row>
    <row r="21" spans="1:30" x14ac:dyDescent="0.3">
      <c r="D21" t="s">
        <v>233</v>
      </c>
      <c r="E21" t="s">
        <v>304</v>
      </c>
      <c r="F21" t="s">
        <v>401</v>
      </c>
      <c r="H21" t="s">
        <v>125</v>
      </c>
      <c r="I21" t="s">
        <v>69</v>
      </c>
      <c r="K21" t="s">
        <v>5</v>
      </c>
      <c r="L21">
        <v>4</v>
      </c>
      <c r="M21" t="s">
        <v>64</v>
      </c>
      <c r="N21" t="s">
        <v>272</v>
      </c>
      <c r="O21" t="s">
        <v>294</v>
      </c>
      <c r="T21" t="s">
        <v>16</v>
      </c>
      <c r="U21">
        <v>18</v>
      </c>
      <c r="V21" t="s">
        <v>138</v>
      </c>
      <c r="W21" t="s">
        <v>237</v>
      </c>
      <c r="AB21" t="s">
        <v>331</v>
      </c>
      <c r="AC21">
        <v>8</v>
      </c>
      <c r="AD21" t="s">
        <v>85</v>
      </c>
    </row>
    <row r="22" spans="1:30" x14ac:dyDescent="0.3">
      <c r="D22" t="s">
        <v>234</v>
      </c>
      <c r="E22" t="s">
        <v>304</v>
      </c>
      <c r="F22" t="s">
        <v>401</v>
      </c>
      <c r="H22" t="s">
        <v>126</v>
      </c>
      <c r="I22" t="s">
        <v>69</v>
      </c>
      <c r="K22" t="s">
        <v>252</v>
      </c>
      <c r="L22">
        <v>4</v>
      </c>
      <c r="M22" t="s">
        <v>148</v>
      </c>
      <c r="N22" t="s">
        <v>272</v>
      </c>
      <c r="O22" t="s">
        <v>294</v>
      </c>
      <c r="T22" t="s">
        <v>261</v>
      </c>
      <c r="U22">
        <v>18</v>
      </c>
      <c r="V22" t="s">
        <v>138</v>
      </c>
      <c r="W22" t="s">
        <v>237</v>
      </c>
      <c r="AB22" t="s">
        <v>332</v>
      </c>
      <c r="AC22">
        <v>8</v>
      </c>
      <c r="AD22" t="s">
        <v>230</v>
      </c>
    </row>
    <row r="23" spans="1:30" x14ac:dyDescent="0.3">
      <c r="D23" t="s">
        <v>235</v>
      </c>
      <c r="E23" t="s">
        <v>304</v>
      </c>
      <c r="F23" t="s">
        <v>401</v>
      </c>
      <c r="H23" t="s">
        <v>60</v>
      </c>
      <c r="I23" t="s">
        <v>69</v>
      </c>
      <c r="K23" t="s">
        <v>257</v>
      </c>
      <c r="L23">
        <v>4</v>
      </c>
      <c r="M23" t="s">
        <v>164</v>
      </c>
      <c r="N23" t="s">
        <v>272</v>
      </c>
      <c r="O23" t="s">
        <v>294</v>
      </c>
      <c r="T23" t="s">
        <v>262</v>
      </c>
      <c r="U23">
        <v>18</v>
      </c>
      <c r="V23" t="s">
        <v>161</v>
      </c>
      <c r="W23" t="s">
        <v>238</v>
      </c>
    </row>
    <row r="24" spans="1:30" x14ac:dyDescent="0.3">
      <c r="D24" t="s">
        <v>236</v>
      </c>
      <c r="E24" t="s">
        <v>304</v>
      </c>
      <c r="F24" t="s">
        <v>401</v>
      </c>
      <c r="H24" t="s">
        <v>61</v>
      </c>
      <c r="I24" t="s">
        <v>69</v>
      </c>
      <c r="K24" t="s">
        <v>253</v>
      </c>
      <c r="L24">
        <v>1</v>
      </c>
      <c r="M24" t="s">
        <v>168</v>
      </c>
      <c r="N24" t="s">
        <v>274</v>
      </c>
      <c r="O24" t="s">
        <v>294</v>
      </c>
      <c r="T24" t="s">
        <v>263</v>
      </c>
      <c r="U24">
        <v>18</v>
      </c>
      <c r="V24" t="s">
        <v>175</v>
      </c>
      <c r="W24" t="s">
        <v>238</v>
      </c>
    </row>
    <row r="25" spans="1:30" x14ac:dyDescent="0.3">
      <c r="D25" t="s">
        <v>84</v>
      </c>
      <c r="E25" t="s">
        <v>304</v>
      </c>
      <c r="F25" t="s">
        <v>401</v>
      </c>
      <c r="H25" t="s">
        <v>127</v>
      </c>
      <c r="I25" t="s">
        <v>69</v>
      </c>
      <c r="K25" t="s">
        <v>254</v>
      </c>
      <c r="L25">
        <v>1</v>
      </c>
      <c r="M25" t="s">
        <v>169</v>
      </c>
      <c r="N25" t="s">
        <v>274</v>
      </c>
      <c r="O25" t="s">
        <v>295</v>
      </c>
      <c r="T25" t="s">
        <v>264</v>
      </c>
      <c r="U25">
        <v>18</v>
      </c>
      <c r="V25" t="s">
        <v>176</v>
      </c>
      <c r="W25" t="s">
        <v>238</v>
      </c>
    </row>
    <row r="26" spans="1:30" x14ac:dyDescent="0.3">
      <c r="D26" t="s">
        <v>260</v>
      </c>
      <c r="E26" t="s">
        <v>305</v>
      </c>
      <c r="F26" t="s">
        <v>401</v>
      </c>
      <c r="H26" t="s">
        <v>128</v>
      </c>
      <c r="I26" t="s">
        <v>69</v>
      </c>
      <c r="K26" t="s">
        <v>255</v>
      </c>
      <c r="L26">
        <v>4</v>
      </c>
      <c r="M26" t="s">
        <v>158</v>
      </c>
      <c r="N26" t="s">
        <v>272</v>
      </c>
      <c r="O26" t="s">
        <v>295</v>
      </c>
    </row>
    <row r="27" spans="1:30" x14ac:dyDescent="0.3">
      <c r="A27" t="s">
        <v>279</v>
      </c>
      <c r="B27" t="s">
        <v>281</v>
      </c>
      <c r="D27" t="s">
        <v>83</v>
      </c>
      <c r="E27" t="s">
        <v>305</v>
      </c>
      <c r="F27" t="s">
        <v>401</v>
      </c>
      <c r="H27" t="s">
        <v>129</v>
      </c>
      <c r="I27" t="s">
        <v>69</v>
      </c>
      <c r="K27" t="s">
        <v>6</v>
      </c>
      <c r="L27">
        <v>2</v>
      </c>
      <c r="M27" t="s">
        <v>144</v>
      </c>
      <c r="N27" t="s">
        <v>273</v>
      </c>
      <c r="O27" t="s">
        <v>295</v>
      </c>
    </row>
    <row r="28" spans="1:30" x14ac:dyDescent="0.3">
      <c r="A28" t="s">
        <v>280</v>
      </c>
      <c r="B28">
        <v>60</v>
      </c>
      <c r="D28" t="s">
        <v>231</v>
      </c>
      <c r="E28" t="s">
        <v>305</v>
      </c>
      <c r="F28" t="s">
        <v>401</v>
      </c>
      <c r="H28" t="s">
        <v>130</v>
      </c>
      <c r="I28" t="s">
        <v>69</v>
      </c>
      <c r="K28" t="s">
        <v>7</v>
      </c>
      <c r="L28">
        <v>1</v>
      </c>
      <c r="M28" t="s">
        <v>145</v>
      </c>
      <c r="N28" t="s">
        <v>273</v>
      </c>
      <c r="O28" t="s">
        <v>295</v>
      </c>
    </row>
    <row r="29" spans="1:30" x14ac:dyDescent="0.3">
      <c r="A29" t="s">
        <v>246</v>
      </c>
      <c r="B29">
        <v>170</v>
      </c>
      <c r="D29" t="s">
        <v>232</v>
      </c>
      <c r="E29" t="s">
        <v>305</v>
      </c>
      <c r="F29" t="s">
        <v>401</v>
      </c>
      <c r="H29" t="s">
        <v>131</v>
      </c>
      <c r="I29" t="s">
        <v>69</v>
      </c>
      <c r="K29" t="s">
        <v>8</v>
      </c>
      <c r="L29">
        <v>1</v>
      </c>
      <c r="M29" t="s">
        <v>146</v>
      </c>
      <c r="N29" t="s">
        <v>273</v>
      </c>
      <c r="O29" t="s">
        <v>295</v>
      </c>
    </row>
    <row r="30" spans="1:30" x14ac:dyDescent="0.3">
      <c r="D30" t="s">
        <v>82</v>
      </c>
      <c r="E30" t="s">
        <v>305</v>
      </c>
      <c r="F30" t="s">
        <v>401</v>
      </c>
      <c r="H30" t="s">
        <v>62</v>
      </c>
      <c r="I30" t="s">
        <v>69</v>
      </c>
      <c r="K30" t="s">
        <v>256</v>
      </c>
      <c r="L30">
        <v>4</v>
      </c>
      <c r="M30" t="s">
        <v>192</v>
      </c>
      <c r="N30" t="s">
        <v>272</v>
      </c>
      <c r="O30" t="s">
        <v>295</v>
      </c>
    </row>
    <row r="31" spans="1:30" x14ac:dyDescent="0.3">
      <c r="D31" t="s">
        <v>81</v>
      </c>
      <c r="E31" t="s">
        <v>305</v>
      </c>
      <c r="F31" t="s">
        <v>401</v>
      </c>
      <c r="H31" t="s">
        <v>132</v>
      </c>
      <c r="I31" t="s">
        <v>69</v>
      </c>
    </row>
    <row r="32" spans="1:30" x14ac:dyDescent="0.3">
      <c r="D32" t="s">
        <v>80</v>
      </c>
      <c r="E32" t="s">
        <v>305</v>
      </c>
      <c r="F32" t="s">
        <v>401</v>
      </c>
      <c r="H32" t="s">
        <v>133</v>
      </c>
      <c r="I32" t="s">
        <v>69</v>
      </c>
    </row>
    <row r="33" spans="4:32" x14ac:dyDescent="0.3">
      <c r="D33" t="s">
        <v>237</v>
      </c>
      <c r="E33" t="s">
        <v>303</v>
      </c>
      <c r="F33" t="s">
        <v>402</v>
      </c>
      <c r="H33" t="s">
        <v>134</v>
      </c>
      <c r="I33" t="s">
        <v>69</v>
      </c>
      <c r="P33" t="s">
        <v>9</v>
      </c>
      <c r="Q33" t="s">
        <v>10</v>
      </c>
    </row>
    <row r="34" spans="4:32" x14ac:dyDescent="0.3">
      <c r="D34" t="s">
        <v>238</v>
      </c>
      <c r="E34" t="s">
        <v>303</v>
      </c>
      <c r="F34" t="s">
        <v>402</v>
      </c>
      <c r="H34" t="s">
        <v>135</v>
      </c>
      <c r="I34" t="s">
        <v>69</v>
      </c>
      <c r="P34" t="s">
        <v>11</v>
      </c>
      <c r="Q34">
        <v>16</v>
      </c>
    </row>
    <row r="35" spans="4:32" x14ac:dyDescent="0.3">
      <c r="D35" t="s">
        <v>229</v>
      </c>
      <c r="E35" t="s">
        <v>295</v>
      </c>
      <c r="F35" t="s">
        <v>401</v>
      </c>
      <c r="H35" t="s">
        <v>136</v>
      </c>
      <c r="I35" t="s">
        <v>69</v>
      </c>
      <c r="P35" t="s">
        <v>12</v>
      </c>
      <c r="Q35">
        <v>16</v>
      </c>
    </row>
    <row r="36" spans="4:32" x14ac:dyDescent="0.3">
      <c r="D36" t="s">
        <v>228</v>
      </c>
      <c r="E36" t="s">
        <v>295</v>
      </c>
      <c r="F36" t="s">
        <v>401</v>
      </c>
      <c r="H36" t="s">
        <v>137</v>
      </c>
      <c r="I36" t="s">
        <v>69</v>
      </c>
      <c r="P36" t="s">
        <v>13</v>
      </c>
      <c r="Q36">
        <v>16</v>
      </c>
      <c r="Y36" t="s">
        <v>19</v>
      </c>
      <c r="Z36" t="s">
        <v>18</v>
      </c>
    </row>
    <row r="37" spans="4:32" x14ac:dyDescent="0.3">
      <c r="D37" t="s">
        <v>239</v>
      </c>
      <c r="E37" t="s">
        <v>295</v>
      </c>
      <c r="F37" t="s">
        <v>401</v>
      </c>
      <c r="H37" t="s">
        <v>138</v>
      </c>
      <c r="I37" t="s">
        <v>69</v>
      </c>
      <c r="P37" t="s">
        <v>14</v>
      </c>
      <c r="Q37">
        <v>16</v>
      </c>
      <c r="Y37" t="s">
        <v>20</v>
      </c>
      <c r="Z37" t="s">
        <v>20</v>
      </c>
    </row>
    <row r="38" spans="4:32" x14ac:dyDescent="0.3">
      <c r="D38" t="s">
        <v>240</v>
      </c>
      <c r="E38" t="s">
        <v>295</v>
      </c>
      <c r="F38" t="s">
        <v>401</v>
      </c>
      <c r="H38" t="s">
        <v>139</v>
      </c>
      <c r="I38" t="s">
        <v>69</v>
      </c>
      <c r="P38" t="s">
        <v>258</v>
      </c>
      <c r="Q38">
        <v>16</v>
      </c>
    </row>
    <row r="39" spans="4:32" x14ac:dyDescent="0.3">
      <c r="D39" t="s">
        <v>215</v>
      </c>
      <c r="E39" t="s">
        <v>305</v>
      </c>
      <c r="F39" t="s">
        <v>401</v>
      </c>
      <c r="H39" t="s">
        <v>140</v>
      </c>
      <c r="I39" t="s">
        <v>69</v>
      </c>
      <c r="P39" t="s">
        <v>15</v>
      </c>
      <c r="Q39">
        <v>16</v>
      </c>
    </row>
    <row r="40" spans="4:32" x14ac:dyDescent="0.3">
      <c r="D40" t="s">
        <v>241</v>
      </c>
      <c r="E40" t="s">
        <v>305</v>
      </c>
      <c r="F40" t="s">
        <v>401</v>
      </c>
      <c r="H40" t="s">
        <v>141</v>
      </c>
      <c r="I40" t="s">
        <v>90</v>
      </c>
      <c r="P40" t="s">
        <v>259</v>
      </c>
      <c r="Q40">
        <v>11</v>
      </c>
      <c r="AF40" t="s">
        <v>88</v>
      </c>
    </row>
    <row r="41" spans="4:32" x14ac:dyDescent="0.3">
      <c r="D41" t="s">
        <v>242</v>
      </c>
      <c r="E41" t="s">
        <v>302</v>
      </c>
      <c r="F41" t="s">
        <v>402</v>
      </c>
      <c r="H41" t="s">
        <v>142</v>
      </c>
      <c r="I41" t="s">
        <v>90</v>
      </c>
      <c r="AF41" t="s">
        <v>89</v>
      </c>
    </row>
    <row r="42" spans="4:32" x14ac:dyDescent="0.3">
      <c r="D42" t="s">
        <v>227</v>
      </c>
      <c r="E42" t="s">
        <v>294</v>
      </c>
      <c r="F42" t="s">
        <v>401</v>
      </c>
      <c r="H42" t="s">
        <v>143</v>
      </c>
      <c r="I42" t="s">
        <v>69</v>
      </c>
      <c r="AF42" t="s">
        <v>69</v>
      </c>
    </row>
    <row r="43" spans="4:32" x14ac:dyDescent="0.3">
      <c r="D43" t="s">
        <v>72</v>
      </c>
      <c r="E43" t="s">
        <v>294</v>
      </c>
      <c r="F43" t="s">
        <v>401</v>
      </c>
      <c r="H43" t="s">
        <v>144</v>
      </c>
      <c r="I43" t="s">
        <v>69</v>
      </c>
      <c r="AF43" t="s">
        <v>90</v>
      </c>
    </row>
    <row r="44" spans="4:32" x14ac:dyDescent="0.3">
      <c r="D44" t="s">
        <v>226</v>
      </c>
      <c r="E44" t="s">
        <v>294</v>
      </c>
      <c r="F44" t="s">
        <v>401</v>
      </c>
      <c r="H44" t="s">
        <v>145</v>
      </c>
      <c r="I44" t="s">
        <v>69</v>
      </c>
    </row>
    <row r="45" spans="4:32" x14ac:dyDescent="0.3">
      <c r="D45" t="s">
        <v>243</v>
      </c>
      <c r="E45" t="s">
        <v>294</v>
      </c>
      <c r="F45" t="s">
        <v>401</v>
      </c>
      <c r="H45" t="s">
        <v>146</v>
      </c>
      <c r="I45" t="s">
        <v>69</v>
      </c>
    </row>
    <row r="46" spans="4:32" x14ac:dyDescent="0.3">
      <c r="D46" t="s">
        <v>225</v>
      </c>
      <c r="E46" t="s">
        <v>294</v>
      </c>
      <c r="F46" t="s">
        <v>401</v>
      </c>
      <c r="H46" t="s">
        <v>63</v>
      </c>
      <c r="I46" t="s">
        <v>69</v>
      </c>
      <c r="AF46" t="s">
        <v>271</v>
      </c>
    </row>
    <row r="47" spans="4:32" x14ac:dyDescent="0.3">
      <c r="D47" t="s">
        <v>224</v>
      </c>
      <c r="E47" t="s">
        <v>294</v>
      </c>
      <c r="F47" t="s">
        <v>401</v>
      </c>
      <c r="H47" t="s">
        <v>147</v>
      </c>
      <c r="I47" t="s">
        <v>69</v>
      </c>
      <c r="AF47" t="s">
        <v>272</v>
      </c>
    </row>
    <row r="48" spans="4:32" x14ac:dyDescent="0.3">
      <c r="D48" t="s">
        <v>244</v>
      </c>
      <c r="E48" t="s">
        <v>294</v>
      </c>
      <c r="F48" t="s">
        <v>401</v>
      </c>
      <c r="H48" t="s">
        <v>64</v>
      </c>
      <c r="I48" t="s">
        <v>69</v>
      </c>
      <c r="AF48" t="s">
        <v>273</v>
      </c>
    </row>
    <row r="49" spans="4:32" x14ac:dyDescent="0.3">
      <c r="D49" t="s">
        <v>245</v>
      </c>
      <c r="E49" t="s">
        <v>294</v>
      </c>
      <c r="F49" t="s">
        <v>401</v>
      </c>
      <c r="H49" t="s">
        <v>148</v>
      </c>
      <c r="I49" t="s">
        <v>69</v>
      </c>
      <c r="AF49" t="s">
        <v>274</v>
      </c>
    </row>
    <row r="50" spans="4:32" x14ac:dyDescent="0.3">
      <c r="D50" t="s">
        <v>86</v>
      </c>
      <c r="E50" t="s">
        <v>294</v>
      </c>
      <c r="F50" t="s">
        <v>401</v>
      </c>
      <c r="H50" t="s">
        <v>149</v>
      </c>
      <c r="I50" t="s">
        <v>69</v>
      </c>
    </row>
    <row r="51" spans="4:32" x14ac:dyDescent="0.3">
      <c r="D51" t="s">
        <v>77</v>
      </c>
      <c r="E51" t="s">
        <v>294</v>
      </c>
      <c r="F51" t="s">
        <v>401</v>
      </c>
      <c r="H51" t="s">
        <v>150</v>
      </c>
      <c r="I51" t="s">
        <v>69</v>
      </c>
    </row>
    <row r="52" spans="4:32" x14ac:dyDescent="0.3">
      <c r="D52" t="s">
        <v>220</v>
      </c>
      <c r="E52" t="s">
        <v>294</v>
      </c>
      <c r="F52" t="s">
        <v>401</v>
      </c>
      <c r="H52" t="s">
        <v>151</v>
      </c>
      <c r="I52" t="s">
        <v>69</v>
      </c>
      <c r="AF52" t="s">
        <v>293</v>
      </c>
    </row>
    <row r="53" spans="4:32" x14ac:dyDescent="0.3">
      <c r="D53" t="s">
        <v>79</v>
      </c>
      <c r="E53" t="s">
        <v>294</v>
      </c>
      <c r="F53" t="s">
        <v>402</v>
      </c>
      <c r="H53" t="s">
        <v>152</v>
      </c>
      <c r="I53" t="s">
        <v>69</v>
      </c>
      <c r="AF53" t="s">
        <v>298</v>
      </c>
    </row>
    <row r="54" spans="4:32" x14ac:dyDescent="0.3">
      <c r="D54" t="s">
        <v>219</v>
      </c>
      <c r="E54" t="s">
        <v>294</v>
      </c>
      <c r="F54" t="s">
        <v>402</v>
      </c>
      <c r="H54" t="s">
        <v>65</v>
      </c>
      <c r="I54" t="s">
        <v>69</v>
      </c>
      <c r="AF54" t="s">
        <v>299</v>
      </c>
    </row>
    <row r="55" spans="4:32" x14ac:dyDescent="0.3">
      <c r="D55" t="s">
        <v>277</v>
      </c>
      <c r="E55" t="s">
        <v>294</v>
      </c>
      <c r="F55" t="s">
        <v>402</v>
      </c>
      <c r="H55" t="s">
        <v>66</v>
      </c>
      <c r="I55" t="s">
        <v>69</v>
      </c>
      <c r="AF55" t="s">
        <v>300</v>
      </c>
    </row>
    <row r="56" spans="4:32" x14ac:dyDescent="0.3">
      <c r="D56" t="s">
        <v>278</v>
      </c>
      <c r="E56" t="s">
        <v>294</v>
      </c>
      <c r="F56" t="s">
        <v>402</v>
      </c>
      <c r="H56" t="s">
        <v>67</v>
      </c>
      <c r="I56" t="s">
        <v>69</v>
      </c>
      <c r="AF56" t="s">
        <v>301</v>
      </c>
    </row>
    <row r="57" spans="4:32" x14ac:dyDescent="0.3">
      <c r="D57" t="s">
        <v>218</v>
      </c>
      <c r="E57" t="s">
        <v>294</v>
      </c>
      <c r="F57" t="s">
        <v>401</v>
      </c>
      <c r="H57" t="s">
        <v>68</v>
      </c>
      <c r="I57" t="s">
        <v>69</v>
      </c>
      <c r="AF57" t="s">
        <v>304</v>
      </c>
    </row>
    <row r="58" spans="4:32" x14ac:dyDescent="0.3">
      <c r="D58" t="s">
        <v>216</v>
      </c>
      <c r="E58" t="s">
        <v>294</v>
      </c>
      <c r="F58" t="s">
        <v>401</v>
      </c>
      <c r="H58" t="s">
        <v>153</v>
      </c>
      <c r="I58" t="s">
        <v>69</v>
      </c>
      <c r="AF58" t="s">
        <v>305</v>
      </c>
    </row>
    <row r="59" spans="4:32" x14ac:dyDescent="0.3">
      <c r="D59" t="s">
        <v>246</v>
      </c>
      <c r="E59" t="s">
        <v>302</v>
      </c>
      <c r="F59" t="s">
        <v>402</v>
      </c>
      <c r="H59" t="s">
        <v>154</v>
      </c>
      <c r="I59" t="s">
        <v>69</v>
      </c>
      <c r="AF59" t="s">
        <v>294</v>
      </c>
    </row>
    <row r="60" spans="4:32" x14ac:dyDescent="0.3">
      <c r="D60" t="s">
        <v>87</v>
      </c>
      <c r="E60" t="s">
        <v>294</v>
      </c>
      <c r="F60" t="s">
        <v>401</v>
      </c>
      <c r="H60" t="s">
        <v>155</v>
      </c>
      <c r="I60" t="s">
        <v>69</v>
      </c>
      <c r="AF60" t="s">
        <v>295</v>
      </c>
    </row>
    <row r="61" spans="4:32" x14ac:dyDescent="0.3">
      <c r="D61" t="s">
        <v>217</v>
      </c>
      <c r="E61" t="s">
        <v>294</v>
      </c>
      <c r="F61" t="s">
        <v>402</v>
      </c>
      <c r="H61" t="s">
        <v>156</v>
      </c>
      <c r="I61" t="s">
        <v>69</v>
      </c>
      <c r="AF61" t="s">
        <v>302</v>
      </c>
    </row>
    <row r="62" spans="4:32" x14ac:dyDescent="0.3">
      <c r="D62" t="s">
        <v>221</v>
      </c>
      <c r="E62" t="s">
        <v>294</v>
      </c>
      <c r="F62" t="s">
        <v>401</v>
      </c>
      <c r="H62" t="s">
        <v>157</v>
      </c>
      <c r="I62" t="s">
        <v>69</v>
      </c>
      <c r="AF62" t="s">
        <v>303</v>
      </c>
    </row>
    <row r="63" spans="4:32" x14ac:dyDescent="0.3">
      <c r="D63" t="s">
        <v>247</v>
      </c>
      <c r="E63" t="s">
        <v>294</v>
      </c>
      <c r="F63" t="s">
        <v>401</v>
      </c>
      <c r="H63" t="s">
        <v>158</v>
      </c>
      <c r="I63" t="s">
        <v>69</v>
      </c>
    </row>
    <row r="64" spans="4:32" x14ac:dyDescent="0.3">
      <c r="D64" t="s">
        <v>70</v>
      </c>
      <c r="E64" t="s">
        <v>295</v>
      </c>
      <c r="F64" t="s">
        <v>401</v>
      </c>
      <c r="H64" t="s">
        <v>159</v>
      </c>
      <c r="I64" t="s">
        <v>69</v>
      </c>
    </row>
    <row r="65" spans="4:9" x14ac:dyDescent="0.3">
      <c r="D65" t="s">
        <v>71</v>
      </c>
      <c r="E65" t="s">
        <v>295</v>
      </c>
      <c r="F65" t="s">
        <v>401</v>
      </c>
      <c r="H65" t="s">
        <v>160</v>
      </c>
      <c r="I65" t="s">
        <v>69</v>
      </c>
    </row>
    <row r="66" spans="4:9" x14ac:dyDescent="0.3">
      <c r="D66" t="s">
        <v>76</v>
      </c>
      <c r="E66" t="s">
        <v>295</v>
      </c>
      <c r="F66" t="s">
        <v>401</v>
      </c>
      <c r="H66" t="s">
        <v>161</v>
      </c>
      <c r="I66" t="s">
        <v>69</v>
      </c>
    </row>
    <row r="67" spans="4:9" x14ac:dyDescent="0.3">
      <c r="D67" t="s">
        <v>223</v>
      </c>
      <c r="E67" t="s">
        <v>295</v>
      </c>
      <c r="F67" t="s">
        <v>401</v>
      </c>
      <c r="H67" t="s">
        <v>162</v>
      </c>
      <c r="I67" t="s">
        <v>69</v>
      </c>
    </row>
    <row r="68" spans="4:9" x14ac:dyDescent="0.3">
      <c r="D68" t="s">
        <v>78</v>
      </c>
      <c r="E68" t="s">
        <v>295</v>
      </c>
      <c r="F68" t="s">
        <v>402</v>
      </c>
      <c r="H68" t="s">
        <v>163</v>
      </c>
      <c r="I68" t="s">
        <v>69</v>
      </c>
    </row>
    <row r="69" spans="4:9" x14ac:dyDescent="0.3">
      <c r="D69" t="s">
        <v>248</v>
      </c>
      <c r="E69" t="s">
        <v>295</v>
      </c>
      <c r="F69" t="s">
        <v>401</v>
      </c>
      <c r="H69" t="s">
        <v>164</v>
      </c>
      <c r="I69" t="s">
        <v>69</v>
      </c>
    </row>
    <row r="70" spans="4:9" x14ac:dyDescent="0.3">
      <c r="D70" t="s">
        <v>73</v>
      </c>
      <c r="E70" t="s">
        <v>295</v>
      </c>
      <c r="F70" t="s">
        <v>401</v>
      </c>
      <c r="H70" t="s">
        <v>165</v>
      </c>
      <c r="I70" t="s">
        <v>69</v>
      </c>
    </row>
    <row r="71" spans="4:9" x14ac:dyDescent="0.3">
      <c r="D71" t="s">
        <v>74</v>
      </c>
      <c r="E71" t="s">
        <v>295</v>
      </c>
      <c r="F71" t="s">
        <v>401</v>
      </c>
      <c r="H71" t="s">
        <v>166</v>
      </c>
      <c r="I71" t="s">
        <v>69</v>
      </c>
    </row>
    <row r="72" spans="4:9" x14ac:dyDescent="0.3">
      <c r="D72" t="s">
        <v>75</v>
      </c>
      <c r="E72" t="s">
        <v>295</v>
      </c>
      <c r="F72" t="s">
        <v>401</v>
      </c>
      <c r="H72" t="s">
        <v>167</v>
      </c>
      <c r="I72" t="s">
        <v>69</v>
      </c>
    </row>
    <row r="73" spans="4:9" x14ac:dyDescent="0.3">
      <c r="D73" t="s">
        <v>222</v>
      </c>
      <c r="E73" t="s">
        <v>295</v>
      </c>
      <c r="F73" t="s">
        <v>401</v>
      </c>
      <c r="H73" t="s">
        <v>168</v>
      </c>
      <c r="I73" t="s">
        <v>69</v>
      </c>
    </row>
    <row r="74" spans="4:9" x14ac:dyDescent="0.3">
      <c r="D74" t="s">
        <v>249</v>
      </c>
      <c r="E74" t="s">
        <v>295</v>
      </c>
      <c r="F74" t="s">
        <v>401</v>
      </c>
      <c r="H74" t="s">
        <v>169</v>
      </c>
      <c r="I74" t="s">
        <v>69</v>
      </c>
    </row>
    <row r="75" spans="4:9" x14ac:dyDescent="0.3">
      <c r="D75" t="s">
        <v>250</v>
      </c>
      <c r="E75" t="s">
        <v>295</v>
      </c>
      <c r="F75" t="s">
        <v>401</v>
      </c>
      <c r="H75" t="s">
        <v>170</v>
      </c>
      <c r="I75" t="s">
        <v>69</v>
      </c>
    </row>
    <row r="76" spans="4:9" x14ac:dyDescent="0.3">
      <c r="H76" t="s">
        <v>171</v>
      </c>
      <c r="I76" t="s">
        <v>69</v>
      </c>
    </row>
    <row r="77" spans="4:9" x14ac:dyDescent="0.3">
      <c r="H77" t="s">
        <v>172</v>
      </c>
      <c r="I77" t="s">
        <v>69</v>
      </c>
    </row>
    <row r="78" spans="4:9" x14ac:dyDescent="0.3">
      <c r="H78" t="s">
        <v>173</v>
      </c>
      <c r="I78" t="s">
        <v>69</v>
      </c>
    </row>
    <row r="79" spans="4:9" x14ac:dyDescent="0.3">
      <c r="H79" t="s">
        <v>174</v>
      </c>
      <c r="I79" t="s">
        <v>69</v>
      </c>
    </row>
    <row r="80" spans="4:9" x14ac:dyDescent="0.3">
      <c r="H80" t="s">
        <v>175</v>
      </c>
      <c r="I80" t="s">
        <v>69</v>
      </c>
    </row>
    <row r="81" spans="8:9" x14ac:dyDescent="0.3">
      <c r="H81" t="s">
        <v>176</v>
      </c>
      <c r="I81" t="s">
        <v>69</v>
      </c>
    </row>
    <row r="82" spans="8:9" x14ac:dyDescent="0.3">
      <c r="H82" t="s">
        <v>177</v>
      </c>
      <c r="I82" t="s">
        <v>69</v>
      </c>
    </row>
    <row r="83" spans="8:9" x14ac:dyDescent="0.3">
      <c r="H83" t="s">
        <v>178</v>
      </c>
      <c r="I83" t="s">
        <v>69</v>
      </c>
    </row>
    <row r="84" spans="8:9" x14ac:dyDescent="0.3">
      <c r="H84" t="s">
        <v>179</v>
      </c>
      <c r="I84" t="s">
        <v>69</v>
      </c>
    </row>
    <row r="85" spans="8:9" x14ac:dyDescent="0.3">
      <c r="H85" t="s">
        <v>180</v>
      </c>
      <c r="I85" t="s">
        <v>69</v>
      </c>
    </row>
    <row r="86" spans="8:9" x14ac:dyDescent="0.3">
      <c r="H86" t="s">
        <v>181</v>
      </c>
      <c r="I86" t="s">
        <v>69</v>
      </c>
    </row>
    <row r="87" spans="8:9" x14ac:dyDescent="0.3">
      <c r="H87" t="s">
        <v>182</v>
      </c>
      <c r="I87" t="s">
        <v>69</v>
      </c>
    </row>
    <row r="88" spans="8:9" x14ac:dyDescent="0.3">
      <c r="H88" t="s">
        <v>183</v>
      </c>
      <c r="I88" t="s">
        <v>69</v>
      </c>
    </row>
    <row r="89" spans="8:9" x14ac:dyDescent="0.3">
      <c r="H89" t="s">
        <v>184</v>
      </c>
      <c r="I89" t="s">
        <v>69</v>
      </c>
    </row>
    <row r="90" spans="8:9" x14ac:dyDescent="0.3">
      <c r="H90" t="s">
        <v>185</v>
      </c>
      <c r="I90" t="s">
        <v>69</v>
      </c>
    </row>
    <row r="91" spans="8:9" x14ac:dyDescent="0.3">
      <c r="H91" t="s">
        <v>186</v>
      </c>
      <c r="I91" t="s">
        <v>69</v>
      </c>
    </row>
    <row r="92" spans="8:9" x14ac:dyDescent="0.3">
      <c r="H92" t="s">
        <v>187</v>
      </c>
      <c r="I92" t="s">
        <v>69</v>
      </c>
    </row>
    <row r="93" spans="8:9" x14ac:dyDescent="0.3">
      <c r="H93" t="s">
        <v>188</v>
      </c>
      <c r="I93" t="s">
        <v>69</v>
      </c>
    </row>
    <row r="94" spans="8:9" x14ac:dyDescent="0.3">
      <c r="H94" t="s">
        <v>189</v>
      </c>
      <c r="I94" t="s">
        <v>69</v>
      </c>
    </row>
    <row r="95" spans="8:9" x14ac:dyDescent="0.3">
      <c r="H95" t="s">
        <v>190</v>
      </c>
      <c r="I95" t="s">
        <v>69</v>
      </c>
    </row>
    <row r="96" spans="8:9" x14ac:dyDescent="0.3">
      <c r="H96" t="s">
        <v>191</v>
      </c>
      <c r="I96" t="s">
        <v>69</v>
      </c>
    </row>
    <row r="97" spans="8:9" x14ac:dyDescent="0.3">
      <c r="H97" t="s">
        <v>192</v>
      </c>
      <c r="I97" t="s">
        <v>69</v>
      </c>
    </row>
    <row r="98" spans="8:9" x14ac:dyDescent="0.3">
      <c r="H98" t="s">
        <v>193</v>
      </c>
      <c r="I98" t="s">
        <v>69</v>
      </c>
    </row>
    <row r="99" spans="8:9" x14ac:dyDescent="0.3">
      <c r="H99" t="s">
        <v>194</v>
      </c>
      <c r="I99" t="s">
        <v>69</v>
      </c>
    </row>
    <row r="100" spans="8:9" x14ac:dyDescent="0.3">
      <c r="H100" t="s">
        <v>195</v>
      </c>
      <c r="I100" t="s">
        <v>69</v>
      </c>
    </row>
    <row r="101" spans="8:9" x14ac:dyDescent="0.3">
      <c r="H101" t="s">
        <v>196</v>
      </c>
      <c r="I101" t="s">
        <v>69</v>
      </c>
    </row>
    <row r="102" spans="8:9" x14ac:dyDescent="0.3">
      <c r="H102" t="s">
        <v>197</v>
      </c>
      <c r="I102" t="s">
        <v>69</v>
      </c>
    </row>
    <row r="103" spans="8:9" x14ac:dyDescent="0.3">
      <c r="H103" t="s">
        <v>198</v>
      </c>
      <c r="I103" t="s">
        <v>69</v>
      </c>
    </row>
    <row r="104" spans="8:9" x14ac:dyDescent="0.3">
      <c r="H104" t="s">
        <v>199</v>
      </c>
      <c r="I104" t="s">
        <v>90</v>
      </c>
    </row>
    <row r="105" spans="8:9" x14ac:dyDescent="0.3">
      <c r="H105" t="s">
        <v>200</v>
      </c>
      <c r="I105" t="s">
        <v>90</v>
      </c>
    </row>
    <row r="106" spans="8:9" x14ac:dyDescent="0.3">
      <c r="H106" t="s">
        <v>201</v>
      </c>
      <c r="I106" t="s">
        <v>90</v>
      </c>
    </row>
    <row r="107" spans="8:9" x14ac:dyDescent="0.3">
      <c r="H107" t="s">
        <v>202</v>
      </c>
      <c r="I107" t="s">
        <v>90</v>
      </c>
    </row>
    <row r="108" spans="8:9" x14ac:dyDescent="0.3">
      <c r="H108" t="s">
        <v>203</v>
      </c>
      <c r="I108" t="s">
        <v>69</v>
      </c>
    </row>
    <row r="109" spans="8:9" x14ac:dyDescent="0.3">
      <c r="H109" t="s">
        <v>204</v>
      </c>
      <c r="I109" t="s">
        <v>69</v>
      </c>
    </row>
    <row r="110" spans="8:9" x14ac:dyDescent="0.3">
      <c r="H110" t="s">
        <v>205</v>
      </c>
      <c r="I110" t="s">
        <v>69</v>
      </c>
    </row>
    <row r="111" spans="8:9" x14ac:dyDescent="0.3">
      <c r="H111" t="s">
        <v>206</v>
      </c>
      <c r="I111" t="s">
        <v>69</v>
      </c>
    </row>
    <row r="112" spans="8:9" x14ac:dyDescent="0.3">
      <c r="H112" t="s">
        <v>207</v>
      </c>
      <c r="I112" t="s">
        <v>69</v>
      </c>
    </row>
    <row r="113" spans="8:9" x14ac:dyDescent="0.3">
      <c r="H113" t="s">
        <v>208</v>
      </c>
      <c r="I113" t="s">
        <v>69</v>
      </c>
    </row>
    <row r="114" spans="8:9" x14ac:dyDescent="0.3">
      <c r="H114" t="s">
        <v>209</v>
      </c>
      <c r="I114" t="s">
        <v>69</v>
      </c>
    </row>
    <row r="115" spans="8:9" x14ac:dyDescent="0.3">
      <c r="H115" t="s">
        <v>210</v>
      </c>
      <c r="I115" t="s">
        <v>69</v>
      </c>
    </row>
    <row r="116" spans="8:9" x14ac:dyDescent="0.3">
      <c r="H116" t="s">
        <v>211</v>
      </c>
      <c r="I116" t="s">
        <v>69</v>
      </c>
    </row>
    <row r="117" spans="8:9" x14ac:dyDescent="0.3">
      <c r="H117" t="s">
        <v>212</v>
      </c>
      <c r="I117" t="s">
        <v>69</v>
      </c>
    </row>
    <row r="118" spans="8:9" x14ac:dyDescent="0.3">
      <c r="H118" t="s">
        <v>213</v>
      </c>
      <c r="I118" t="s">
        <v>69</v>
      </c>
    </row>
    <row r="119" spans="8:9" x14ac:dyDescent="0.3">
      <c r="H119" t="s">
        <v>214</v>
      </c>
      <c r="I119" t="s">
        <v>69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$AF$41:$AF$43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opLeftCell="A2" zoomScaleNormal="100" workbookViewId="0">
      <selection activeCell="AA13" sqref="AA13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</cols>
  <sheetData>
    <row r="2" spans="1:27" x14ac:dyDescent="0.3">
      <c r="A2" s="1" t="s">
        <v>439</v>
      </c>
      <c r="C2" s="5" t="s">
        <v>437</v>
      </c>
    </row>
    <row r="5" spans="1:27" x14ac:dyDescent="0.3">
      <c r="A5" t="s">
        <v>53</v>
      </c>
      <c r="E5" t="s">
        <v>52</v>
      </c>
      <c r="J5" t="s">
        <v>54</v>
      </c>
      <c r="L5" t="s">
        <v>282</v>
      </c>
      <c r="P5" t="s">
        <v>56</v>
      </c>
      <c r="R5" t="s">
        <v>282</v>
      </c>
      <c r="V5" t="s">
        <v>55</v>
      </c>
    </row>
    <row r="6" spans="1:27" x14ac:dyDescent="0.3">
      <c r="A6" t="s">
        <v>23</v>
      </c>
      <c r="B6" t="s">
        <v>24</v>
      </c>
      <c r="E6" t="s">
        <v>23</v>
      </c>
      <c r="F6" t="s">
        <v>24</v>
      </c>
      <c r="G6" t="s">
        <v>48</v>
      </c>
      <c r="H6" t="s">
        <v>49</v>
      </c>
      <c r="J6" t="s">
        <v>23</v>
      </c>
      <c r="K6" t="s">
        <v>24</v>
      </c>
      <c r="L6" t="s">
        <v>42</v>
      </c>
      <c r="M6" t="s">
        <v>43</v>
      </c>
      <c r="N6" t="s">
        <v>44</v>
      </c>
      <c r="P6" t="s">
        <v>23</v>
      </c>
      <c r="Q6" t="s">
        <v>24</v>
      </c>
      <c r="R6" t="s">
        <v>42</v>
      </c>
      <c r="S6" t="s">
        <v>43</v>
      </c>
      <c r="T6" t="s">
        <v>44</v>
      </c>
      <c r="V6" t="s">
        <v>23</v>
      </c>
      <c r="W6" t="s">
        <v>24</v>
      </c>
      <c r="X6" t="s">
        <v>47</v>
      </c>
      <c r="Z6" t="s">
        <v>37</v>
      </c>
    </row>
    <row r="7" spans="1:27" x14ac:dyDescent="0.3">
      <c r="A7" t="s">
        <v>13</v>
      </c>
      <c r="B7" t="s">
        <v>35</v>
      </c>
      <c r="E7" t="s">
        <v>11</v>
      </c>
      <c r="F7" t="s">
        <v>29</v>
      </c>
      <c r="G7" t="s">
        <v>261</v>
      </c>
      <c r="H7" t="s">
        <v>111</v>
      </c>
      <c r="J7" t="s">
        <v>12</v>
      </c>
      <c r="K7" t="s">
        <v>25</v>
      </c>
      <c r="L7" t="s">
        <v>283</v>
      </c>
      <c r="M7" t="s">
        <v>5</v>
      </c>
      <c r="N7" t="s">
        <v>92</v>
      </c>
      <c r="P7" t="s">
        <v>11</v>
      </c>
      <c r="Q7" t="s">
        <v>34</v>
      </c>
      <c r="R7" t="s">
        <v>438</v>
      </c>
      <c r="S7" t="s">
        <v>4</v>
      </c>
      <c r="T7" t="s">
        <v>46</v>
      </c>
      <c r="V7" t="s">
        <v>12</v>
      </c>
      <c r="W7" t="s">
        <v>27</v>
      </c>
      <c r="X7" t="s">
        <v>435</v>
      </c>
      <c r="Z7" t="s">
        <v>23</v>
      </c>
      <c r="AA7" t="s">
        <v>24</v>
      </c>
    </row>
    <row r="8" spans="1:27" x14ac:dyDescent="0.3">
      <c r="A8" t="s">
        <v>13</v>
      </c>
      <c r="B8" t="s">
        <v>36</v>
      </c>
      <c r="E8" t="s">
        <v>11</v>
      </c>
      <c r="F8" t="s">
        <v>30</v>
      </c>
      <c r="G8" t="s">
        <v>261</v>
      </c>
      <c r="H8" t="s">
        <v>107</v>
      </c>
      <c r="J8" t="s">
        <v>12</v>
      </c>
      <c r="K8" t="s">
        <v>26</v>
      </c>
      <c r="L8" t="s">
        <v>283</v>
      </c>
      <c r="M8" t="s">
        <v>5</v>
      </c>
      <c r="N8" t="s">
        <v>50</v>
      </c>
      <c r="P8" t="s">
        <v>11</v>
      </c>
      <c r="Q8" t="s">
        <v>35</v>
      </c>
      <c r="R8" t="s">
        <v>438</v>
      </c>
      <c r="S8" t="s">
        <v>4</v>
      </c>
      <c r="T8" t="s">
        <v>92</v>
      </c>
      <c r="V8" t="s">
        <v>12</v>
      </c>
      <c r="W8" t="s">
        <v>30</v>
      </c>
      <c r="X8" t="s">
        <v>436</v>
      </c>
      <c r="Z8" t="s">
        <v>12</v>
      </c>
      <c r="AA8" t="s">
        <v>35</v>
      </c>
    </row>
    <row r="9" spans="1:27" x14ac:dyDescent="0.3">
      <c r="A9" t="s">
        <v>13</v>
      </c>
      <c r="B9" t="s">
        <v>38</v>
      </c>
      <c r="E9" t="s">
        <v>11</v>
      </c>
      <c r="F9" t="s">
        <v>31</v>
      </c>
      <c r="G9" t="s">
        <v>261</v>
      </c>
      <c r="H9" t="s">
        <v>97</v>
      </c>
      <c r="J9" t="s">
        <v>12</v>
      </c>
      <c r="K9" t="s">
        <v>28</v>
      </c>
      <c r="L9" t="s">
        <v>283</v>
      </c>
      <c r="M9" t="s">
        <v>5</v>
      </c>
      <c r="N9" t="s">
        <v>45</v>
      </c>
      <c r="P9" t="s">
        <v>13</v>
      </c>
      <c r="Q9" t="s">
        <v>27</v>
      </c>
      <c r="R9" t="s">
        <v>432</v>
      </c>
      <c r="S9" t="s">
        <v>256</v>
      </c>
      <c r="T9" t="s">
        <v>46</v>
      </c>
      <c r="Z9" t="s">
        <v>12</v>
      </c>
      <c r="AA9" t="s">
        <v>36</v>
      </c>
    </row>
    <row r="10" spans="1:27" x14ac:dyDescent="0.3">
      <c r="A10" t="s">
        <v>13</v>
      </c>
      <c r="B10" t="s">
        <v>39</v>
      </c>
      <c r="E10" t="s">
        <v>11</v>
      </c>
      <c r="F10" t="s">
        <v>32</v>
      </c>
      <c r="G10" t="s">
        <v>261</v>
      </c>
      <c r="H10" t="s">
        <v>98</v>
      </c>
      <c r="J10" t="s">
        <v>12</v>
      </c>
      <c r="K10" t="s">
        <v>29</v>
      </c>
      <c r="L10" t="s">
        <v>283</v>
      </c>
      <c r="M10" t="s">
        <v>5</v>
      </c>
      <c r="N10" t="s">
        <v>46</v>
      </c>
      <c r="P10" t="s">
        <v>13</v>
      </c>
      <c r="Q10" t="s">
        <v>28</v>
      </c>
      <c r="R10" t="s">
        <v>430</v>
      </c>
      <c r="S10" t="s">
        <v>4</v>
      </c>
      <c r="T10" t="s">
        <v>50</v>
      </c>
      <c r="Z10" t="s">
        <v>12</v>
      </c>
      <c r="AA10" t="s">
        <v>38</v>
      </c>
    </row>
    <row r="11" spans="1:27" x14ac:dyDescent="0.3">
      <c r="A11" t="s">
        <v>13</v>
      </c>
      <c r="B11" t="s">
        <v>40</v>
      </c>
      <c r="E11" t="s">
        <v>12</v>
      </c>
      <c r="F11" t="s">
        <v>41</v>
      </c>
      <c r="G11" t="s">
        <v>261</v>
      </c>
      <c r="H11" t="s">
        <v>109</v>
      </c>
      <c r="P11" t="s">
        <v>13</v>
      </c>
      <c r="Q11" t="s">
        <v>31</v>
      </c>
      <c r="R11" t="s">
        <v>431</v>
      </c>
      <c r="S11" t="s">
        <v>255</v>
      </c>
      <c r="T11" t="s">
        <v>45</v>
      </c>
      <c r="Z11" t="s">
        <v>12</v>
      </c>
      <c r="AA11" t="s">
        <v>39</v>
      </c>
    </row>
    <row r="12" spans="1:27" x14ac:dyDescent="0.3">
      <c r="A12" t="s">
        <v>13</v>
      </c>
      <c r="B12" t="s">
        <v>41</v>
      </c>
      <c r="P12" t="s">
        <v>13</v>
      </c>
      <c r="Q12" t="s">
        <v>32</v>
      </c>
      <c r="R12" t="s">
        <v>431</v>
      </c>
      <c r="S12" t="s">
        <v>255</v>
      </c>
      <c r="T12" t="s">
        <v>46</v>
      </c>
      <c r="Z12" t="s">
        <v>12</v>
      </c>
      <c r="AA12" t="s">
        <v>40</v>
      </c>
    </row>
    <row r="13" spans="1:27" x14ac:dyDescent="0.3">
      <c r="A13" t="s">
        <v>11</v>
      </c>
      <c r="B13" t="s">
        <v>25</v>
      </c>
      <c r="P13" t="s">
        <v>13</v>
      </c>
      <c r="Q13" t="s">
        <v>33</v>
      </c>
      <c r="R13" t="s">
        <v>432</v>
      </c>
      <c r="S13" t="s">
        <v>256</v>
      </c>
      <c r="T13" t="s">
        <v>92</v>
      </c>
      <c r="Z13" t="s">
        <v>11</v>
      </c>
      <c r="AA13" t="s">
        <v>33</v>
      </c>
    </row>
    <row r="14" spans="1:27" x14ac:dyDescent="0.3">
      <c r="A14" t="s">
        <v>11</v>
      </c>
      <c r="B14" t="s">
        <v>26</v>
      </c>
      <c r="P14" t="s">
        <v>13</v>
      </c>
      <c r="Q14" t="s">
        <v>34</v>
      </c>
      <c r="R14" t="s">
        <v>431</v>
      </c>
      <c r="S14" t="s">
        <v>255</v>
      </c>
      <c r="T14" t="s">
        <v>50</v>
      </c>
      <c r="Z14" t="s">
        <v>11</v>
      </c>
      <c r="AA14" t="s">
        <v>36</v>
      </c>
    </row>
    <row r="15" spans="1:27" x14ac:dyDescent="0.3">
      <c r="P15" t="s">
        <v>12</v>
      </c>
      <c r="Q15" t="s">
        <v>31</v>
      </c>
      <c r="R15" t="s">
        <v>433</v>
      </c>
      <c r="S15" t="s">
        <v>252</v>
      </c>
      <c r="T15" t="s">
        <v>45</v>
      </c>
      <c r="Z15" t="s">
        <v>11</v>
      </c>
      <c r="AA15" t="s">
        <v>38</v>
      </c>
    </row>
    <row r="16" spans="1:27" x14ac:dyDescent="0.3">
      <c r="P16" t="s">
        <v>12</v>
      </c>
      <c r="Q16" t="s">
        <v>32</v>
      </c>
      <c r="R16" t="s">
        <v>433</v>
      </c>
      <c r="S16" t="s">
        <v>252</v>
      </c>
      <c r="T16" t="s">
        <v>46</v>
      </c>
      <c r="Z16" t="s">
        <v>14</v>
      </c>
      <c r="AA16" t="s">
        <v>27</v>
      </c>
    </row>
    <row r="17" spans="1:53" x14ac:dyDescent="0.3">
      <c r="P17" t="s">
        <v>12</v>
      </c>
      <c r="Q17" t="s">
        <v>33</v>
      </c>
      <c r="R17" t="s">
        <v>433</v>
      </c>
      <c r="S17" t="s">
        <v>252</v>
      </c>
      <c r="T17" t="s">
        <v>92</v>
      </c>
    </row>
    <row r="18" spans="1:53" x14ac:dyDescent="0.3">
      <c r="P18" t="s">
        <v>12</v>
      </c>
      <c r="Q18" t="s">
        <v>34</v>
      </c>
      <c r="R18" t="s">
        <v>433</v>
      </c>
      <c r="S18" t="s">
        <v>252</v>
      </c>
      <c r="T18" t="s">
        <v>50</v>
      </c>
    </row>
    <row r="24" spans="1:53" x14ac:dyDescent="0.3">
      <c r="A24" t="s">
        <v>410</v>
      </c>
    </row>
    <row r="25" spans="1:53" x14ac:dyDescent="0.3">
      <c r="A25" t="s">
        <v>285</v>
      </c>
      <c r="B25" t="s">
        <v>286</v>
      </c>
      <c r="C25" t="s">
        <v>287</v>
      </c>
      <c r="D25" t="s">
        <v>288</v>
      </c>
      <c r="E25" t="s">
        <v>42</v>
      </c>
      <c r="F25" t="s">
        <v>292</v>
      </c>
    </row>
    <row r="26" spans="1:53" x14ac:dyDescent="0.3">
      <c r="A26" t="s">
        <v>15</v>
      </c>
      <c r="B26" t="s">
        <v>36</v>
      </c>
      <c r="C26" t="s">
        <v>15</v>
      </c>
      <c r="D26" t="s">
        <v>38</v>
      </c>
      <c r="E26" t="s">
        <v>284</v>
      </c>
      <c r="F26" t="s">
        <v>289</v>
      </c>
    </row>
    <row r="27" spans="1:53" x14ac:dyDescent="0.3">
      <c r="A27" t="s">
        <v>259</v>
      </c>
      <c r="B27" t="s">
        <v>40</v>
      </c>
      <c r="C27" t="s">
        <v>259</v>
      </c>
      <c r="D27" t="s">
        <v>41</v>
      </c>
      <c r="E27" t="s">
        <v>284</v>
      </c>
      <c r="F27" t="s">
        <v>291</v>
      </c>
    </row>
    <row r="28" spans="1:53" x14ac:dyDescent="0.3">
      <c r="A28" t="s">
        <v>259</v>
      </c>
      <c r="B28" t="s">
        <v>39</v>
      </c>
      <c r="C28" t="s">
        <v>259</v>
      </c>
      <c r="D28" t="s">
        <v>38</v>
      </c>
      <c r="E28" t="s">
        <v>284</v>
      </c>
      <c r="F28" t="s">
        <v>290</v>
      </c>
      <c r="W28" t="s">
        <v>361</v>
      </c>
    </row>
    <row r="29" spans="1:53" x14ac:dyDescent="0.3">
      <c r="W29" t="s">
        <v>354</v>
      </c>
      <c r="AW29" t="s">
        <v>91</v>
      </c>
      <c r="BA29" t="s">
        <v>49</v>
      </c>
    </row>
    <row r="30" spans="1:53" x14ac:dyDescent="0.3">
      <c r="W30" t="s">
        <v>362</v>
      </c>
      <c r="AW30" t="s">
        <v>25</v>
      </c>
      <c r="AY30" t="s">
        <v>93</v>
      </c>
      <c r="BA30" t="s">
        <v>94</v>
      </c>
    </row>
    <row r="31" spans="1:53" x14ac:dyDescent="0.3">
      <c r="W31" t="s">
        <v>363</v>
      </c>
      <c r="AW31" t="s">
        <v>26</v>
      </c>
      <c r="AY31" t="s">
        <v>45</v>
      </c>
      <c r="BA31" t="s">
        <v>95</v>
      </c>
    </row>
    <row r="32" spans="1:53" x14ac:dyDescent="0.3">
      <c r="W32" t="s">
        <v>364</v>
      </c>
      <c r="AW32" t="s">
        <v>27</v>
      </c>
      <c r="AY32" t="s">
        <v>46</v>
      </c>
      <c r="BA32" t="s">
        <v>96</v>
      </c>
    </row>
    <row r="33" spans="1:53" x14ac:dyDescent="0.3">
      <c r="A33" t="s">
        <v>344</v>
      </c>
      <c r="W33" t="s">
        <v>365</v>
      </c>
      <c r="AW33" t="s">
        <v>28</v>
      </c>
      <c r="AY33" t="s">
        <v>92</v>
      </c>
      <c r="BA33" t="s">
        <v>97</v>
      </c>
    </row>
    <row r="34" spans="1:53" x14ac:dyDescent="0.3">
      <c r="A34" t="s">
        <v>285</v>
      </c>
      <c r="B34" t="s">
        <v>286</v>
      </c>
      <c r="C34" t="s">
        <v>287</v>
      </c>
      <c r="D34" t="s">
        <v>288</v>
      </c>
      <c r="E34" t="s">
        <v>42</v>
      </c>
      <c r="F34" t="s">
        <v>347</v>
      </c>
      <c r="W34" t="s">
        <v>366</v>
      </c>
      <c r="AW34" t="s">
        <v>29</v>
      </c>
      <c r="AY34" t="s">
        <v>50</v>
      </c>
      <c r="BA34" t="s">
        <v>98</v>
      </c>
    </row>
    <row r="35" spans="1:53" x14ac:dyDescent="0.3">
      <c r="A35" t="s">
        <v>11</v>
      </c>
      <c r="B35" t="s">
        <v>28</v>
      </c>
      <c r="C35" t="s">
        <v>11</v>
      </c>
      <c r="D35" t="s">
        <v>27</v>
      </c>
      <c r="E35" t="s">
        <v>345</v>
      </c>
      <c r="F35" t="s">
        <v>79</v>
      </c>
      <c r="W35" t="s">
        <v>367</v>
      </c>
      <c r="AW35" t="s">
        <v>30</v>
      </c>
      <c r="BA35" t="s">
        <v>99</v>
      </c>
    </row>
    <row r="36" spans="1:53" x14ac:dyDescent="0.3">
      <c r="A36" t="s">
        <v>13</v>
      </c>
      <c r="B36" t="s">
        <v>36</v>
      </c>
      <c r="C36" t="s">
        <v>13</v>
      </c>
      <c r="D36" t="s">
        <v>35</v>
      </c>
      <c r="E36" t="s">
        <v>346</v>
      </c>
      <c r="F36" t="s">
        <v>277</v>
      </c>
      <c r="W36" t="s">
        <v>368</v>
      </c>
      <c r="AW36" t="s">
        <v>31</v>
      </c>
      <c r="BA36" t="s">
        <v>100</v>
      </c>
    </row>
    <row r="37" spans="1:53" x14ac:dyDescent="0.3">
      <c r="AW37" t="s">
        <v>32</v>
      </c>
      <c r="BA37" t="s">
        <v>101</v>
      </c>
    </row>
    <row r="38" spans="1:53" x14ac:dyDescent="0.3">
      <c r="AW38" t="s">
        <v>33</v>
      </c>
      <c r="BA38" t="s">
        <v>102</v>
      </c>
    </row>
    <row r="39" spans="1:53" x14ac:dyDescent="0.3">
      <c r="AW39" t="s">
        <v>34</v>
      </c>
      <c r="BA39" t="s">
        <v>103</v>
      </c>
    </row>
    <row r="40" spans="1:53" x14ac:dyDescent="0.3">
      <c r="AW40" t="s">
        <v>35</v>
      </c>
      <c r="BA40" t="s">
        <v>104</v>
      </c>
    </row>
    <row r="41" spans="1:53" x14ac:dyDescent="0.3">
      <c r="AW41" t="s">
        <v>36</v>
      </c>
      <c r="BA41" t="s">
        <v>105</v>
      </c>
    </row>
    <row r="42" spans="1:53" x14ac:dyDescent="0.3">
      <c r="AW42" t="s">
        <v>38</v>
      </c>
      <c r="BA42" t="s">
        <v>106</v>
      </c>
    </row>
    <row r="43" spans="1:53" x14ac:dyDescent="0.3">
      <c r="AW43" t="s">
        <v>39</v>
      </c>
      <c r="BA43" t="s">
        <v>107</v>
      </c>
    </row>
    <row r="44" spans="1:53" x14ac:dyDescent="0.3">
      <c r="AW44" t="s">
        <v>40</v>
      </c>
      <c r="BA44" t="s">
        <v>108</v>
      </c>
    </row>
    <row r="45" spans="1:53" x14ac:dyDescent="0.3">
      <c r="AW45" t="s">
        <v>41</v>
      </c>
      <c r="BA45" t="s">
        <v>109</v>
      </c>
    </row>
    <row r="46" spans="1:53" x14ac:dyDescent="0.3">
      <c r="BA46" t="s">
        <v>110</v>
      </c>
    </row>
    <row r="47" spans="1:53" x14ac:dyDescent="0.3">
      <c r="BA47" t="s">
        <v>111</v>
      </c>
    </row>
    <row r="57" spans="36:36" x14ac:dyDescent="0.3">
      <c r="AJ57" t="s">
        <v>112</v>
      </c>
    </row>
  </sheetData>
  <phoneticPr fontId="1" type="noConversion"/>
  <dataValidations count="3">
    <dataValidation type="list" allowBlank="1" showInputMessage="1" showErrorMessage="1" sqref="AW46 K7:K10 Q7:Q14 F7:F11 B7:B14 W7:W8 AA8:AA16" xr:uid="{14BC2D73-1395-4E2C-9D1E-55C781825C64}">
      <formula1>$AW$30:$AW$45</formula1>
    </dataValidation>
    <dataValidation type="list" allowBlank="1" showInputMessage="1" showErrorMessage="1" sqref="T7:T14 N7:N10" xr:uid="{727A5344-B28A-4866-9EC1-7C96029AF8B6}">
      <formula1>$AY$31:$AY$34</formula1>
    </dataValidation>
    <dataValidation type="list" allowBlank="1" showInputMessage="1" showErrorMessage="1" sqref="H7:H11" xr:uid="{FFFA1AF2-B35F-4BAA-AEF6-4A6121806F8D}">
      <formula1>$BA$30:$BA$47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A00DA78-9682-47F8-B701-D35809CE3FB0}">
          <x14:formula1>
            <xm:f>General_Info!$P$34:$P$39</xm:f>
          </x14:formula1>
          <xm:sqref>P7:P14 J7:J10 E7:E11 A7:A14 V7:V8 Z8:Z16</xm:sqref>
        </x14:dataValidation>
        <x14:dataValidation type="list" allowBlank="1" showInputMessage="1" showErrorMessage="1" xr:uid="{3C428027-B16D-4B04-9CB2-8290577ED0FB}">
          <x14:formula1>
            <xm:f>General_Info!$T$21:$T$25</xm:f>
          </x14:formula1>
          <xm:sqref>G6:G11</xm:sqref>
        </x14:dataValidation>
        <x14:dataValidation type="list" allowBlank="1" showInputMessage="1" showErrorMessage="1" xr:uid="{1C3D18C3-7241-4088-8034-07AAE0EB53A9}">
          <x14:formula1>
            <xm:f>General_Info!$K$19:$K$30</xm:f>
          </x14:formula1>
          <xm:sqref>S7:S14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zoomScale="115" zoomScaleNormal="115" workbookViewId="0">
      <selection activeCell="F16" sqref="F16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51</v>
      </c>
      <c r="F3" t="s">
        <v>361</v>
      </c>
    </row>
    <row r="4" spans="2:7" x14ac:dyDescent="0.3">
      <c r="B4" t="s">
        <v>0</v>
      </c>
      <c r="C4" t="s">
        <v>1</v>
      </c>
      <c r="F4" t="s">
        <v>354</v>
      </c>
      <c r="G4" t="s">
        <v>395</v>
      </c>
    </row>
    <row r="5" spans="2:7" x14ac:dyDescent="0.3">
      <c r="B5" t="s">
        <v>7</v>
      </c>
      <c r="C5" t="s">
        <v>45</v>
      </c>
      <c r="F5" t="s">
        <v>348</v>
      </c>
      <c r="G5" t="s">
        <v>6</v>
      </c>
    </row>
    <row r="6" spans="2:7" x14ac:dyDescent="0.3">
      <c r="B6" t="s">
        <v>8</v>
      </c>
      <c r="C6" t="s">
        <v>45</v>
      </c>
      <c r="F6" t="s">
        <v>359</v>
      </c>
      <c r="G6" t="s">
        <v>7</v>
      </c>
    </row>
    <row r="7" spans="2:7" x14ac:dyDescent="0.3">
      <c r="F7" t="s">
        <v>350</v>
      </c>
      <c r="G7" t="s">
        <v>8</v>
      </c>
    </row>
    <row r="8" spans="2:7" x14ac:dyDescent="0.3">
      <c r="F8" t="s">
        <v>349</v>
      </c>
      <c r="G8" t="s">
        <v>4</v>
      </c>
    </row>
    <row r="9" spans="2:7" x14ac:dyDescent="0.3">
      <c r="F9" t="s">
        <v>351</v>
      </c>
      <c r="G9" t="s">
        <v>251</v>
      </c>
    </row>
    <row r="10" spans="2:7" x14ac:dyDescent="0.3">
      <c r="F10" t="s">
        <v>352</v>
      </c>
      <c r="G10" t="s">
        <v>5</v>
      </c>
    </row>
    <row r="11" spans="2:7" x14ac:dyDescent="0.3">
      <c r="F11" t="s">
        <v>353</v>
      </c>
      <c r="G11" t="s">
        <v>252</v>
      </c>
    </row>
    <row r="12" spans="2:7" x14ac:dyDescent="0.3">
      <c r="F12" t="s">
        <v>355</v>
      </c>
      <c r="G12" t="s">
        <v>253</v>
      </c>
    </row>
    <row r="13" spans="2:7" x14ac:dyDescent="0.3">
      <c r="F13" t="s">
        <v>356</v>
      </c>
      <c r="G13" t="s">
        <v>254</v>
      </c>
    </row>
    <row r="14" spans="2:7" x14ac:dyDescent="0.3">
      <c r="F14" t="s">
        <v>434</v>
      </c>
      <c r="G14" t="s">
        <v>255</v>
      </c>
    </row>
    <row r="15" spans="2:7" x14ac:dyDescent="0.3">
      <c r="F15" t="s">
        <v>357</v>
      </c>
      <c r="G15" t="s">
        <v>256</v>
      </c>
    </row>
    <row r="16" spans="2:7" x14ac:dyDescent="0.3">
      <c r="F16" t="s">
        <v>358</v>
      </c>
      <c r="G16" t="s">
        <v>256</v>
      </c>
    </row>
    <row r="17" spans="6:7" x14ac:dyDescent="0.3">
      <c r="F17" t="s">
        <v>360</v>
      </c>
      <c r="G17" t="s">
        <v>256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V12"/>
  <sheetViews>
    <sheetView topLeftCell="Q1" workbookViewId="0">
      <selection activeCell="T14" sqref="T14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22" ht="25.8" customHeight="1" x14ac:dyDescent="0.3">
      <c r="I2" s="3" t="s">
        <v>117</v>
      </c>
      <c r="Q2" s="2" t="s">
        <v>115</v>
      </c>
    </row>
    <row r="3" spans="5:22" x14ac:dyDescent="0.3">
      <c r="I3" t="s">
        <v>114</v>
      </c>
      <c r="J3" t="s">
        <v>120</v>
      </c>
      <c r="K3" t="s">
        <v>118</v>
      </c>
      <c r="L3" t="s">
        <v>119</v>
      </c>
      <c r="S3" t="s">
        <v>116</v>
      </c>
      <c r="T3" t="s">
        <v>121</v>
      </c>
      <c r="U3" t="s">
        <v>118</v>
      </c>
      <c r="V3" t="s">
        <v>119</v>
      </c>
    </row>
    <row r="4" spans="5:22" x14ac:dyDescent="0.3">
      <c r="I4" t="s">
        <v>113</v>
      </c>
      <c r="J4" t="s">
        <v>266</v>
      </c>
      <c r="K4" t="s">
        <v>16</v>
      </c>
      <c r="L4" t="s">
        <v>110</v>
      </c>
      <c r="S4" t="s">
        <v>420</v>
      </c>
      <c r="T4" t="s">
        <v>268</v>
      </c>
      <c r="U4" t="s">
        <v>16</v>
      </c>
      <c r="V4" t="s">
        <v>111</v>
      </c>
    </row>
    <row r="5" spans="5:22" x14ac:dyDescent="0.3">
      <c r="I5" t="s">
        <v>265</v>
      </c>
      <c r="J5" t="s">
        <v>267</v>
      </c>
      <c r="K5" t="s">
        <v>264</v>
      </c>
      <c r="L5" t="s">
        <v>98</v>
      </c>
      <c r="S5" t="s">
        <v>421</v>
      </c>
      <c r="T5" t="s">
        <v>268</v>
      </c>
      <c r="U5" t="s">
        <v>16</v>
      </c>
      <c r="V5" t="s">
        <v>111</v>
      </c>
    </row>
    <row r="6" spans="5:22" x14ac:dyDescent="0.3">
      <c r="S6" t="s">
        <v>422</v>
      </c>
      <c r="T6" t="s">
        <v>268</v>
      </c>
      <c r="U6" t="s">
        <v>262</v>
      </c>
      <c r="V6" t="s">
        <v>111</v>
      </c>
    </row>
    <row r="7" spans="5:22" x14ac:dyDescent="0.3">
      <c r="E7" t="s">
        <v>361</v>
      </c>
      <c r="S7" t="s">
        <v>423</v>
      </c>
      <c r="T7" t="s">
        <v>268</v>
      </c>
      <c r="U7" t="s">
        <v>263</v>
      </c>
      <c r="V7" t="s">
        <v>111</v>
      </c>
    </row>
    <row r="8" spans="5:22" x14ac:dyDescent="0.3">
      <c r="E8" t="s">
        <v>354</v>
      </c>
      <c r="F8" t="s">
        <v>396</v>
      </c>
      <c r="S8" t="s">
        <v>424</v>
      </c>
      <c r="T8" t="s">
        <v>268</v>
      </c>
      <c r="U8" t="s">
        <v>264</v>
      </c>
      <c r="V8" t="s">
        <v>111</v>
      </c>
    </row>
    <row r="9" spans="5:22" x14ac:dyDescent="0.3">
      <c r="E9" t="s">
        <v>369</v>
      </c>
      <c r="F9" t="s">
        <v>397</v>
      </c>
    </row>
    <row r="10" spans="5:22" x14ac:dyDescent="0.3">
      <c r="E10" t="s">
        <v>370</v>
      </c>
      <c r="F10" t="s">
        <v>398</v>
      </c>
    </row>
    <row r="11" spans="5:22" x14ac:dyDescent="0.3">
      <c r="E11" t="s">
        <v>371</v>
      </c>
      <c r="F11" t="s">
        <v>399</v>
      </c>
    </row>
    <row r="12" spans="5:22" x14ac:dyDescent="0.3">
      <c r="E12" t="s">
        <v>372</v>
      </c>
      <c r="F12" t="s">
        <v>400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AB0981D-B484-49AA-81E2-46EA728857EF}">
          <x14:formula1>
            <xm:f>FMK_IO!$BA$30:$BA$47</xm:f>
          </x14:formula1>
          <xm:sqref>L4:L5 V4:V8</xm:sqref>
        </x14:dataValidation>
        <x14:dataValidation type="list" allowBlank="1" showInputMessage="1" showErrorMessage="1" xr:uid="{9E258101-4BE3-4FFA-9159-E0120D35AA71}">
          <x14:formula1>
            <xm:f>General_Info!$T$21:$T$25</xm:f>
          </x14:formula1>
          <xm:sqref>K4:K5 U4:U8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2:P18"/>
  <sheetViews>
    <sheetView topLeftCell="A55" zoomScale="85" zoomScaleNormal="85" workbookViewId="0">
      <selection activeCell="E12" sqref="E12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2" spans="2:16" x14ac:dyDescent="0.3">
      <c r="B2" t="s">
        <v>333</v>
      </c>
      <c r="C2" t="s">
        <v>334</v>
      </c>
      <c r="D2" t="s">
        <v>335</v>
      </c>
      <c r="E2" t="s">
        <v>336</v>
      </c>
      <c r="J2" t="s">
        <v>361</v>
      </c>
    </row>
    <row r="3" spans="2:16" x14ac:dyDescent="0.3">
      <c r="B3" t="s">
        <v>330</v>
      </c>
      <c r="C3" t="s">
        <v>331</v>
      </c>
      <c r="D3" t="s">
        <v>337</v>
      </c>
      <c r="E3" t="s">
        <v>69</v>
      </c>
      <c r="J3" t="s">
        <v>354</v>
      </c>
      <c r="K3" t="s">
        <v>406</v>
      </c>
      <c r="P3" t="s">
        <v>409</v>
      </c>
    </row>
    <row r="4" spans="2:16" x14ac:dyDescent="0.3">
      <c r="B4" t="s">
        <v>408</v>
      </c>
      <c r="C4" t="s">
        <v>331</v>
      </c>
      <c r="D4" t="s">
        <v>50</v>
      </c>
      <c r="E4" t="s">
        <v>69</v>
      </c>
      <c r="J4" t="s">
        <v>373</v>
      </c>
      <c r="K4" t="s">
        <v>330</v>
      </c>
      <c r="L4" t="s">
        <v>407</v>
      </c>
      <c r="P4" t="s">
        <v>233</v>
      </c>
    </row>
    <row r="5" spans="2:16" x14ac:dyDescent="0.3">
      <c r="B5" t="s">
        <v>398</v>
      </c>
      <c r="C5" t="s">
        <v>331</v>
      </c>
      <c r="D5" t="s">
        <v>92</v>
      </c>
      <c r="E5" t="s">
        <v>69</v>
      </c>
      <c r="J5" t="s">
        <v>374</v>
      </c>
      <c r="K5" t="s">
        <v>408</v>
      </c>
    </row>
    <row r="6" spans="2:16" x14ac:dyDescent="0.3">
      <c r="B6" t="s">
        <v>338</v>
      </c>
      <c r="C6" t="s">
        <v>332</v>
      </c>
      <c r="D6" t="s">
        <v>45</v>
      </c>
      <c r="E6" t="s">
        <v>69</v>
      </c>
      <c r="J6" t="s">
        <v>375</v>
      </c>
      <c r="K6" t="s">
        <v>398</v>
      </c>
    </row>
    <row r="7" spans="2:16" x14ac:dyDescent="0.3">
      <c r="B7" t="s">
        <v>339</v>
      </c>
      <c r="C7" t="s">
        <v>332</v>
      </c>
      <c r="D7" t="s">
        <v>46</v>
      </c>
      <c r="E7" t="s">
        <v>69</v>
      </c>
      <c r="J7" t="s">
        <v>376</v>
      </c>
      <c r="K7" t="s">
        <v>338</v>
      </c>
    </row>
    <row r="8" spans="2:16" x14ac:dyDescent="0.3">
      <c r="B8" t="s">
        <v>340</v>
      </c>
      <c r="C8" t="s">
        <v>331</v>
      </c>
      <c r="D8" t="s">
        <v>341</v>
      </c>
      <c r="E8" t="s">
        <v>69</v>
      </c>
      <c r="J8" t="s">
        <v>377</v>
      </c>
      <c r="K8" t="s">
        <v>339</v>
      </c>
    </row>
    <row r="9" spans="2:16" x14ac:dyDescent="0.3">
      <c r="B9" t="s">
        <v>342</v>
      </c>
      <c r="C9" t="s">
        <v>331</v>
      </c>
      <c r="D9" t="s">
        <v>343</v>
      </c>
      <c r="E9" t="s">
        <v>69</v>
      </c>
      <c r="J9" t="s">
        <v>378</v>
      </c>
      <c r="K9" t="s">
        <v>340</v>
      </c>
    </row>
    <row r="10" spans="2:16" x14ac:dyDescent="0.3">
      <c r="B10" t="s">
        <v>404</v>
      </c>
      <c r="C10" t="s">
        <v>331</v>
      </c>
      <c r="D10" t="s">
        <v>46</v>
      </c>
      <c r="E10" t="s">
        <v>69</v>
      </c>
      <c r="J10" t="s">
        <v>379</v>
      </c>
      <c r="K10" t="s">
        <v>342</v>
      </c>
    </row>
    <row r="11" spans="2:16" x14ac:dyDescent="0.3">
      <c r="B11" t="s">
        <v>405</v>
      </c>
      <c r="C11" t="s">
        <v>331</v>
      </c>
      <c r="D11" t="s">
        <v>45</v>
      </c>
      <c r="E11" t="s">
        <v>69</v>
      </c>
      <c r="J11" t="s">
        <v>380</v>
      </c>
      <c r="K11" t="s">
        <v>404</v>
      </c>
    </row>
    <row r="12" spans="2:16" x14ac:dyDescent="0.3">
      <c r="B12" t="s">
        <v>429</v>
      </c>
      <c r="C12" t="s">
        <v>332</v>
      </c>
      <c r="D12" t="s">
        <v>92</v>
      </c>
      <c r="E12" s="4" t="s">
        <v>69</v>
      </c>
      <c r="J12" t="s">
        <v>381</v>
      </c>
      <c r="K12" t="s">
        <v>405</v>
      </c>
    </row>
    <row r="13" spans="2:16" x14ac:dyDescent="0.3">
      <c r="J13" t="s">
        <v>382</v>
      </c>
      <c r="K13" t="s">
        <v>429</v>
      </c>
    </row>
    <row r="14" spans="2:16" x14ac:dyDescent="0.3">
      <c r="J14" t="s">
        <v>383</v>
      </c>
    </row>
    <row r="15" spans="2:16" x14ac:dyDescent="0.3">
      <c r="J15" t="s">
        <v>384</v>
      </c>
    </row>
    <row r="16" spans="2:16" x14ac:dyDescent="0.3">
      <c r="J16" t="s">
        <v>385</v>
      </c>
    </row>
    <row r="17" spans="10:10" x14ac:dyDescent="0.3">
      <c r="J17" t="s">
        <v>386</v>
      </c>
    </row>
    <row r="18" spans="10:10" x14ac:dyDescent="0.3">
      <c r="J18" t="s">
        <v>387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B11"/>
  <sheetViews>
    <sheetView workbookViewId="0">
      <selection activeCell="B10" sqref="B10:B11"/>
    </sheetView>
  </sheetViews>
  <sheetFormatPr baseColWidth="10" defaultRowHeight="14.4" x14ac:dyDescent="0.3"/>
  <sheetData>
    <row r="1" spans="1:2" x14ac:dyDescent="0.3">
      <c r="A1" t="s">
        <v>388</v>
      </c>
    </row>
    <row r="4" spans="1:2" x14ac:dyDescent="0.3">
      <c r="B4" t="s">
        <v>361</v>
      </c>
    </row>
    <row r="5" spans="1:2" x14ac:dyDescent="0.3">
      <c r="B5" t="s">
        <v>354</v>
      </c>
    </row>
    <row r="6" spans="1:2" x14ac:dyDescent="0.3">
      <c r="B6" t="s">
        <v>389</v>
      </c>
    </row>
    <row r="7" spans="1:2" x14ac:dyDescent="0.3">
      <c r="B7" t="s">
        <v>390</v>
      </c>
    </row>
    <row r="8" spans="1:2" x14ac:dyDescent="0.3">
      <c r="B8" t="s">
        <v>391</v>
      </c>
    </row>
    <row r="9" spans="1:2" x14ac:dyDescent="0.3">
      <c r="B9" t="s">
        <v>392</v>
      </c>
    </row>
    <row r="10" spans="1:2" x14ac:dyDescent="0.3">
      <c r="B10" t="s">
        <v>393</v>
      </c>
    </row>
    <row r="11" spans="1:2" x14ac:dyDescent="0.3">
      <c r="B11" t="s">
        <v>394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opLeftCell="B1" workbookViewId="0">
      <selection activeCell="I11" sqref="I11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412</v>
      </c>
      <c r="F2" t="s">
        <v>411</v>
      </c>
      <c r="G2" t="s">
        <v>418</v>
      </c>
      <c r="H2" t="s">
        <v>419</v>
      </c>
      <c r="I2" t="s">
        <v>285</v>
      </c>
      <c r="J2" t="s">
        <v>286</v>
      </c>
      <c r="K2" t="s">
        <v>287</v>
      </c>
      <c r="L2" t="s">
        <v>288</v>
      </c>
      <c r="M2" t="s">
        <v>42</v>
      </c>
    </row>
    <row r="3" spans="5:13" x14ac:dyDescent="0.3">
      <c r="E3" t="s">
        <v>78</v>
      </c>
      <c r="F3" t="s">
        <v>413</v>
      </c>
      <c r="G3">
        <v>0</v>
      </c>
      <c r="H3">
        <v>0</v>
      </c>
      <c r="I3" t="s">
        <v>259</v>
      </c>
      <c r="J3" t="s">
        <v>28</v>
      </c>
      <c r="K3" t="s">
        <v>259</v>
      </c>
      <c r="L3" t="s">
        <v>29</v>
      </c>
      <c r="M3" t="s">
        <v>425</v>
      </c>
    </row>
    <row r="4" spans="5:13" x14ac:dyDescent="0.3">
      <c r="E4" t="s">
        <v>79</v>
      </c>
      <c r="F4" t="s">
        <v>414</v>
      </c>
      <c r="G4">
        <v>256</v>
      </c>
      <c r="H4">
        <v>256</v>
      </c>
      <c r="I4" t="s">
        <v>11</v>
      </c>
      <c r="J4" t="s">
        <v>28</v>
      </c>
      <c r="K4" t="s">
        <v>11</v>
      </c>
      <c r="L4" t="s">
        <v>27</v>
      </c>
      <c r="M4" t="s">
        <v>345</v>
      </c>
    </row>
    <row r="5" spans="5:13" x14ac:dyDescent="0.3">
      <c r="E5" t="s">
        <v>219</v>
      </c>
      <c r="F5" t="s">
        <v>415</v>
      </c>
      <c r="I5" t="s">
        <v>259</v>
      </c>
      <c r="J5" t="s">
        <v>30</v>
      </c>
      <c r="K5" t="s">
        <v>259</v>
      </c>
      <c r="L5" t="s">
        <v>31</v>
      </c>
      <c r="M5" t="s">
        <v>426</v>
      </c>
    </row>
    <row r="6" spans="5:13" x14ac:dyDescent="0.3">
      <c r="E6" t="s">
        <v>277</v>
      </c>
      <c r="F6" t="s">
        <v>416</v>
      </c>
      <c r="G6">
        <v>256</v>
      </c>
      <c r="H6">
        <v>256</v>
      </c>
      <c r="I6" t="s">
        <v>259</v>
      </c>
      <c r="J6" t="s">
        <v>32</v>
      </c>
      <c r="K6" t="s">
        <v>259</v>
      </c>
      <c r="L6" t="s">
        <v>33</v>
      </c>
      <c r="M6" t="s">
        <v>428</v>
      </c>
    </row>
    <row r="7" spans="5:13" x14ac:dyDescent="0.3">
      <c r="E7" t="s">
        <v>278</v>
      </c>
      <c r="F7" t="s">
        <v>417</v>
      </c>
      <c r="G7">
        <v>0</v>
      </c>
      <c r="H7">
        <v>0</v>
      </c>
      <c r="I7" t="s">
        <v>259</v>
      </c>
      <c r="J7" t="s">
        <v>34</v>
      </c>
      <c r="K7" t="s">
        <v>259</v>
      </c>
      <c r="L7" t="s">
        <v>35</v>
      </c>
      <c r="M7" t="s">
        <v>427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C4" zoomScale="96" zoomScaleNormal="55" workbookViewId="0">
      <selection activeCell="D27" sqref="D27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318</v>
      </c>
    </row>
    <row r="3" spans="3:14" x14ac:dyDescent="0.3">
      <c r="C3">
        <v>1000000</v>
      </c>
    </row>
    <row r="4" spans="3:14" x14ac:dyDescent="0.3">
      <c r="L4" t="s">
        <v>311</v>
      </c>
      <c r="N4" t="s">
        <v>314</v>
      </c>
    </row>
    <row r="5" spans="3:14" x14ac:dyDescent="0.3">
      <c r="L5">
        <v>21332.3</v>
      </c>
      <c r="N5">
        <v>9</v>
      </c>
    </row>
    <row r="7" spans="3:14" x14ac:dyDescent="0.3">
      <c r="D7" t="s">
        <v>309</v>
      </c>
      <c r="E7" t="s">
        <v>308</v>
      </c>
      <c r="F7" t="s">
        <v>306</v>
      </c>
      <c r="G7" t="s">
        <v>307</v>
      </c>
      <c r="J7" t="s">
        <v>310</v>
      </c>
    </row>
    <row r="8" spans="3:14" x14ac:dyDescent="0.3">
      <c r="D8">
        <v>6000</v>
      </c>
      <c r="E8">
        <v>128</v>
      </c>
      <c r="F8">
        <v>0</v>
      </c>
      <c r="G8">
        <f>E8*C3/((D8)*(F8+1))-1</f>
        <v>21332.333333333332</v>
      </c>
      <c r="J8">
        <f>(E8*1000000)/((L5))</f>
        <v>6000.2906390778307</v>
      </c>
      <c r="M8" t="s">
        <v>317</v>
      </c>
    </row>
    <row r="9" spans="3:14" x14ac:dyDescent="0.3">
      <c r="M9">
        <f>J14-ROUND(J14,0)</f>
        <v>4.8439846304981771E-5</v>
      </c>
    </row>
    <row r="12" spans="3:14" x14ac:dyDescent="0.3">
      <c r="L12" t="s">
        <v>316</v>
      </c>
    </row>
    <row r="13" spans="3:14" x14ac:dyDescent="0.3">
      <c r="D13">
        <f>E8/(L13+1)*D8</f>
        <v>35.998312579097856</v>
      </c>
      <c r="J13" t="s">
        <v>312</v>
      </c>
      <c r="L13">
        <f>L5+(L5/J15)*M9</f>
        <v>21333.333333333332</v>
      </c>
    </row>
    <row r="14" spans="3:14" x14ac:dyDescent="0.3">
      <c r="J14">
        <f>E8*C3/(D8*(L5))</f>
        <v>1.000048439846305</v>
      </c>
    </row>
    <row r="15" spans="3:14" x14ac:dyDescent="0.3">
      <c r="J15">
        <f>TRUNC(J14)</f>
        <v>1</v>
      </c>
    </row>
    <row r="16" spans="3:14" x14ac:dyDescent="0.3">
      <c r="D16">
        <f>E8*C3/D8</f>
        <v>21333.333333333332</v>
      </c>
      <c r="J16" t="s">
        <v>112</v>
      </c>
    </row>
    <row r="17" spans="2:16" x14ac:dyDescent="0.3">
      <c r="J17" t="s">
        <v>313</v>
      </c>
      <c r="L17" t="s">
        <v>315</v>
      </c>
    </row>
    <row r="18" spans="2:16" x14ac:dyDescent="0.3">
      <c r="D18">
        <f>E8*C3/D16</f>
        <v>6000</v>
      </c>
      <c r="J18">
        <f>(E8*C3)/((L5)*(INT(J14)+1))</f>
        <v>3000.1453195389154</v>
      </c>
      <c r="L18">
        <f>(E8*C3)/((J15)*(L13))</f>
        <v>6000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321</v>
      </c>
      <c r="K28" t="s">
        <v>323</v>
      </c>
    </row>
    <row r="29" spans="2:16" x14ac:dyDescent="0.3">
      <c r="D29">
        <v>1000000</v>
      </c>
      <c r="K29">
        <f>1/(D31/1000)</f>
        <v>0.5</v>
      </c>
      <c r="M29" t="s">
        <v>306</v>
      </c>
    </row>
    <row r="30" spans="2:16" x14ac:dyDescent="0.3">
      <c r="D30" t="s">
        <v>319</v>
      </c>
      <c r="E30" t="s">
        <v>320</v>
      </c>
      <c r="F30" t="s">
        <v>322</v>
      </c>
      <c r="G30" t="s">
        <v>307</v>
      </c>
      <c r="I30" t="s">
        <v>326</v>
      </c>
      <c r="J30" t="s">
        <v>324</v>
      </c>
      <c r="K30" t="s">
        <v>327</v>
      </c>
      <c r="L30" t="s">
        <v>328</v>
      </c>
      <c r="M30" t="s">
        <v>325</v>
      </c>
      <c r="O30" t="s">
        <v>329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abSelected="1" topLeftCell="D1" zoomScaleNormal="100" workbookViewId="0">
      <selection activeCell="L7" sqref="L7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440</v>
      </c>
    </row>
    <row r="5" spans="2:15" x14ac:dyDescent="0.3">
      <c r="J5" t="s">
        <v>452</v>
      </c>
      <c r="K5" t="s">
        <v>453</v>
      </c>
      <c r="L5" t="s">
        <v>454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9" t="s">
        <v>449</v>
      </c>
      <c r="F20" s="9" t="s">
        <v>451</v>
      </c>
      <c r="G20" s="10" t="s">
        <v>450</v>
      </c>
    </row>
    <row r="21" spans="5:18" x14ac:dyDescent="0.3">
      <c r="E21" s="7" t="s">
        <v>441</v>
      </c>
      <c r="F21" s="7">
        <f>$J$6 *$O$8 / $K$6</f>
        <v>4000000</v>
      </c>
      <c r="G21" s="7">
        <f>$J$6 *$O$8 / $L$6</f>
        <v>64000</v>
      </c>
    </row>
    <row r="22" spans="5:18" x14ac:dyDescent="0.3">
      <c r="E22" s="8" t="s">
        <v>442</v>
      </c>
      <c r="F22" s="8">
        <f>$J$6 *$O$9 / $K$6</f>
        <v>2000000</v>
      </c>
      <c r="G22" s="8">
        <f>$J$6 *$O$9 / $L$6</f>
        <v>32000</v>
      </c>
    </row>
    <row r="23" spans="5:18" x14ac:dyDescent="0.3">
      <c r="E23" s="7" t="s">
        <v>443</v>
      </c>
      <c r="F23" s="7">
        <f>$J$6 *$O$10 / $K$6</f>
        <v>1000000</v>
      </c>
      <c r="G23" s="7">
        <f>$J$6 *$O$10 / $L$6</f>
        <v>16000</v>
      </c>
      <c r="R23" t="s">
        <v>112</v>
      </c>
    </row>
    <row r="24" spans="5:18" x14ac:dyDescent="0.3">
      <c r="E24" s="8" t="s">
        <v>444</v>
      </c>
      <c r="F24" s="8">
        <f>$J$6 *$O$11 / $K$6</f>
        <v>500000</v>
      </c>
      <c r="G24" s="8">
        <f>$J$6 *$O$11 / $L$6</f>
        <v>8000</v>
      </c>
    </row>
    <row r="25" spans="5:18" x14ac:dyDescent="0.3">
      <c r="E25" s="7" t="s">
        <v>445</v>
      </c>
      <c r="F25" s="7">
        <f>$J$6 *$O$12 / $K$6</f>
        <v>250000</v>
      </c>
      <c r="G25" s="7">
        <f>$J$6 *$O$12 / $L$6</f>
        <v>4000</v>
      </c>
    </row>
    <row r="26" spans="5:18" x14ac:dyDescent="0.3">
      <c r="E26" s="8" t="s">
        <v>446</v>
      </c>
      <c r="F26" s="8">
        <f>$J$6 *$O$13 / $K$6</f>
        <v>125000</v>
      </c>
      <c r="G26" s="8">
        <f>$J$6 *$O$13 / $L$6</f>
        <v>2000</v>
      </c>
    </row>
    <row r="27" spans="5:18" x14ac:dyDescent="0.3">
      <c r="E27" s="7" t="s">
        <v>447</v>
      </c>
      <c r="F27" s="7">
        <f>$J$6 / $O$14 / $K$6</f>
        <v>62500</v>
      </c>
      <c r="G27" s="7">
        <f>$J$6 / $O$14 / $L$6</f>
        <v>1000</v>
      </c>
    </row>
    <row r="28" spans="5:18" x14ac:dyDescent="0.3">
      <c r="E28" s="11" t="s">
        <v>448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General_Info</vt:lpstr>
      <vt:lpstr>FMK_IO</vt:lpstr>
      <vt:lpstr>FMK_TIM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2025-03-12T21:11:38Z</dcterms:modified>
</cp:coreProperties>
</file>