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Integration_H7\Doc\ConfigPrj\ExcelCfg\STM32H753ZI\"/>
    </mc:Choice>
  </mc:AlternateContent>
  <xr:revisionPtr revIDLastSave="0" documentId="13_ncr:1_{1E59605E-7BF5-4A39-8D32-0266019849BB}" xr6:coauthVersionLast="47" xr6:coauthVersionMax="47" xr10:uidLastSave="{00000000-0000-0000-0000-000000000000}"/>
  <bookViews>
    <workbookView xWindow="-96" yWindow="0" windowWidth="11712" windowHeight="12336" firstSheet="1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<sst xmlns="http://schemas.openxmlformats.org/spreadsheetml/2006/main" count="1382" uniqueCount="568">
  <si>
    <t>Colonne1</t>
  </si>
  <si>
    <t>Timer_name</t>
  </si>
  <si>
    <t>Number of channels</t>
  </si>
  <si>
    <t>TIMER_1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</si>
  <si>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</si>
  <si>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</si>
  <si>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</si>
  <si>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</si>
  <si>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</si>
  <si>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</si>
  <si>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</si>
  <si>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</si>
  <si>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</si>
  <si>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</si>
  <si>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</si>
  <si>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</si>
  <si>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</si>
  <si>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</si>
  <si>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</si>
  <si>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</si>
  <si>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</si>
  <si>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</si>
  <si>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</si>
  <si>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</si>
  <si>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</si>
  <si>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</si>
  <si>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</si>
  <si>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</si>
  <si>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</si>
  <si>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</si>
  <si>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</si>
  <si>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</si>
  <si>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</si>
  <si>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</si>
  <si>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</si>
  <si>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</si>
  <si>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</si>
  <si>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</si>
  <si>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</si>
  <si>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</si>
  <si>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</si>
  <si>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</si>
  <si>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</si>
  <si>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</si>
  <si>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</si>
  <si>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</si>
  <si>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</si>
  <si>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</si>
  <si>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</si>
  <si>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</si>
  <si>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</si>
  <si>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</si>
  <si>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</si>
  <si>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</si>
  <si>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</si>
  <si>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</si>
  <si>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</si>
  <si>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</si>
  <si>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</si>
  <si>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</si>
  <si>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</si>
  <si>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</si>
  <si>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</si>
  <si>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</si>
  <si>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</si>
  <si>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</si>
  <si>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</si>
  <si>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</si>
  <si>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</si>
  <si>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</si>
  <si>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</si>
  <si>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</si>
  <si>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</si>
  <si>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</si>
  <si>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</si>
  <si>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</si>
  <si>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</si>
  <si>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</si>
  <si>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</si>
  <si>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</si>
  <si>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DMA1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</si>
  <si>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</si>
  <si>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</si>
  <si>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</si>
  <si>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</si>
  <si>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</si>
  <si>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</si>
  <si>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</si>
  <si>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</si>
  <si>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</si>
  <si>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</si>
  <si>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</si>
  <si>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</si>
  <si>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</si>
  <si>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</si>
  <si>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</si>
  <si>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</si>
  <si>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</si>
  <si>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</si>
  <si>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</si>
  <si>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</si>
  <si>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</si>
  <si>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</si>
  <si>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</si>
  <si>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</si>
  <si>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</si>
  <si>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</si>
  <si>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</si>
  <si>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</si>
  <si>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</si>
  <si>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</si>
  <si>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</si>
  <si>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</si>
  <si>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</si>
  <si>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</si>
  <si>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</si>
  <si>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RTC_WKUP_IRQn</t>
  </si>
  <si>
    <t>EXTI0_IRQn</t>
  </si>
  <si>
    <t>EXTI1_IRQn</t>
  </si>
  <si>
    <t>EXTI2_IRQn</t>
  </si>
  <si>
    <t>EXTI3_IRQn</t>
  </si>
  <si>
    <t>EXTI4_IRQn</t>
  </si>
  <si>
    <t>FDCAN1_IT0_IRQn</t>
  </si>
  <si>
    <t>FDCAN1_IT1_IRQn</t>
  </si>
  <si>
    <t>EXTI9_5_IRQn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</si>
  <si>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</si>
  <si>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</si>
  <si>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</si>
  <si>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</si>
  <si>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</si>
  <si>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</si>
  <si>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</si>
  <si>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</si>
  <si>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</si>
  <si>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</si>
  <si>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</si>
  <si>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</si>
  <si>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</si>
  <si>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</si>
  <si>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</si>
  <si>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</si>
  <si>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</si>
  <si>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</si>
  <si>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CRS_IRQn</t>
  </si>
  <si>
    <t>SAI1_IRQn</t>
  </si>
  <si>
    <t>FPU_IRQn</t>
  </si>
  <si>
    <t>I2C4_EV_IRQn</t>
  </si>
  <si>
    <t>I2C4_ER_IRQn</t>
  </si>
  <si>
    <t>SPI4_IRQn</t>
  </si>
  <si>
    <t>FDCAN2_IT0_IRQn</t>
  </si>
  <si>
    <t>FDCAN2_IT1_IRQn</t>
  </si>
  <si>
    <t>LPUART1_IRQn</t>
  </si>
  <si>
    <t>I2C3_EV_IRQn</t>
  </si>
  <si>
    <t>I2C3_ER_IRQn</t>
  </si>
  <si>
    <t>I2C3</t>
  </si>
  <si>
    <t>I2C2</t>
  </si>
  <si>
    <t>USART3</t>
  </si>
  <si>
    <t>SPI3</t>
  </si>
  <si>
    <t>LPTIM1</t>
  </si>
  <si>
    <t>TIM8</t>
  </si>
  <si>
    <t>TIM7</t>
  </si>
  <si>
    <t>TIM6</t>
  </si>
  <si>
    <t>TIM4</t>
  </si>
  <si>
    <t>TIM2</t>
  </si>
  <si>
    <t>DMA2</t>
  </si>
  <si>
    <t>GPIOE</t>
  </si>
  <si>
    <t>GPIOD</t>
  </si>
  <si>
    <t>DMAMUX1</t>
  </si>
  <si>
    <t>ADC12</t>
  </si>
  <si>
    <t>FMC</t>
  </si>
  <si>
    <t>TIM5</t>
  </si>
  <si>
    <t>CRS</t>
  </si>
  <si>
    <t>FDCAN</t>
  </si>
  <si>
    <t>SPI4</t>
  </si>
  <si>
    <t>SAI1</t>
  </si>
  <si>
    <t>HRTIM1</t>
  </si>
  <si>
    <t>TIMER_4</t>
  </si>
  <si>
    <t>TIMER_8</t>
  </si>
  <si>
    <t>TIMER_5</t>
  </si>
  <si>
    <t>GPIO_E</t>
  </si>
  <si>
    <t>GPIO_G</t>
  </si>
  <si>
    <t>ADC_2</t>
  </si>
  <si>
    <t>ADC_3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</si>
  <si>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</si>
  <si>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</si>
  <si>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</si>
  <si>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</si>
  <si>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</si>
  <si>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</si>
  <si>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</si>
  <si>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</si>
  <si>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</si>
  <si>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</si>
  <si>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</si>
  <si>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</si>
  <si>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</si>
  <si>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</si>
  <si>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</si>
  <si>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</si>
  <si>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</si>
  <si>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</si>
  <si>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</si>
  <si>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</si>
  <si>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</si>
  <si>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</si>
  <si>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</si>
  <si>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</si>
  <si>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</si>
  <si>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</si>
  <si>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</si>
  <si>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</si>
  <si>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</si>
  <si>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</si>
  <si>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</si>
  <si>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</si>
  <si>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</si>
  <si>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</si>
  <si>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</si>
  <si>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</si>
  <si>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</si>
  <si>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</si>
  <si>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</si>
  <si>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</si>
  <si>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</si>
  <si>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</si>
  <si>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</si>
  <si>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</si>
  <si>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</si>
  <si>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</si>
  <si>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</si>
  <si>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</si>
  <si>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</si>
  <si>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</si>
  <si>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</si>
  <si>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</si>
  <si>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</si>
  <si>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</si>
  <si>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</si>
  <si>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</si>
  <si>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</si>
  <si>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</si>
  <si>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</si>
  <si>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</si>
  <si>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</si>
  <si>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</si>
  <si>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</si>
  <si>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USART1_RX</t>
  </si>
  <si>
    <t>CHANNEL_6</t>
  </si>
  <si>
    <t>USART1_TX</t>
  </si>
  <si>
    <t>CHANNEL_7</t>
  </si>
  <si>
    <t>List IRQN_Handler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</si>
  <si>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</si>
  <si>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</si>
  <si>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</si>
  <si>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</si>
  <si>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</si>
  <si>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</si>
  <si>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</si>
  <si>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</si>
  <si>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ADC3_IRQHandler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</si>
  <si>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</si>
  <si>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</si>
  <si>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</si>
  <si>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</si>
  <si>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</si>
  <si>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</si>
  <si>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</si>
  <si>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</si>
  <si>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</si>
  <si>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</si>
  <si>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</si>
  <si>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</si>
  <si>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</si>
  <si>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</si>
  <si>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</si>
  <si>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</si>
  <si>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</si>
  <si>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</si>
  <si>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FDCAN1_IT0_IRQHandler</t>
  </si>
  <si>
    <t>FDCAN1_IT1_IRQHandler</t>
  </si>
  <si>
    <t>Adc, Dac associated</t>
  </si>
  <si>
    <t>ADC1,ADC2</t>
  </si>
  <si>
    <t>ADC3</t>
  </si>
  <si>
    <t>No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</si>
  <si>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</si>
  <si>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</si>
  <si>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</si>
  <si>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</si>
  <si>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</si>
  <si>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</si>
  <si>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</si>
  <si>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</si>
  <si>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</si>
  <si>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</si>
  <si>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</si>
  <si>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</si>
  <si>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</si>
  <si>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</si>
  <si>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</si>
  <si>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</si>
  <si>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</si>
  <si>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</si>
  <si>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</si>
  <si>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</si>
  <si>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GPIO_AF2_TIM4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</si>
  <si>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</si>
  <si>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</si>
  <si>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</si>
  <si>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</si>
  <si>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</si>
  <si>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</si>
  <si>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</si>
  <si>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</si>
  <si>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</si>
  <si>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</si>
  <si>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</si>
  <si>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</si>
  <si>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</si>
  <si>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</si>
  <si>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</si>
  <si>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</si>
  <si>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</si>
  <si>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</si>
  <si>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</si>
  <si>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</si>
  <si>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</si>
  <si>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</si>
  <si>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</si>
  <si>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</si>
  <si>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</si>
  <si>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</si>
  <si>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</si>
  <si>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</si>
  <si>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</si>
  <si>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</si>
  <si>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</si>
  <si>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TIMER_B</t>
  </si>
  <si>
    <t>TIMER_C</t>
  </si>
  <si>
    <t>TIMER_D</t>
  </si>
  <si>
    <t>TIMER_E</t>
  </si>
  <si>
    <t>GPIO_AF1_TIM16</t>
  </si>
  <si>
    <t>GPIO_AF1_TIM17</t>
  </si>
  <si>
    <t>ADC_CHANNEL_18</t>
  </si>
  <si>
    <t>VBAT</t>
  </si>
  <si>
    <t>Enable</t>
  </si>
  <si>
    <t>TRUE</t>
  </si>
  <si>
    <t>Instance</t>
  </si>
  <si>
    <t>FDCAN1</t>
  </si>
  <si>
    <t>RxBuffer Size</t>
  </si>
  <si>
    <t>Tx buffer Size</t>
  </si>
  <si>
    <t>FDCAN2</t>
  </si>
  <si>
    <t>RCC Clock</t>
  </si>
  <si>
    <t>GPIO_AF9_FDCAN2</t>
  </si>
  <si>
    <t>voir dans cubeMx associé enable register DMA</t>
  </si>
  <si>
    <t>stm32h7xx</t>
  </si>
  <si>
    <t>PVD_AVD_IRQn</t>
  </si>
  <si>
    <t>TAMP_STAMP_IRQn</t>
  </si>
  <si>
    <t>DMA1_Stream0_IRQn</t>
  </si>
  <si>
    <t>DMA1_Stream1_IRQn</t>
  </si>
  <si>
    <t>DMA1_Stream2_IRQn</t>
  </si>
  <si>
    <t>DMA1_Stream3_IRQn</t>
  </si>
  <si>
    <t>DMA1_Stream4_IRQn</t>
  </si>
  <si>
    <t>DMA1_Stream5_IRQn</t>
  </si>
  <si>
    <t>DMA1_Stream6_IRQn</t>
  </si>
  <si>
    <t>ADC_IRQn</t>
  </si>
  <si>
    <t>TIM1_BRK_IRQn</t>
  </si>
  <si>
    <t>TIM1_UP_IRQn</t>
  </si>
  <si>
    <t>TIM1_TRG_COM_IRQn</t>
  </si>
  <si>
    <t>TIM8_BRK_TIM12_IRQn</t>
  </si>
  <si>
    <t>TIM8_UP_TIM13_IRQn</t>
  </si>
  <si>
    <t>TIM8_TRG_COM_TIM14_IRQn</t>
  </si>
  <si>
    <t>DMA1_Stream7_IRQn</t>
  </si>
  <si>
    <t>SDMMC1_IRQn</t>
  </si>
  <si>
    <t>TIM7_IRQn</t>
  </si>
  <si>
    <t>DMA2_Stream0_IRQn</t>
  </si>
  <si>
    <t>DMA2_Stream1_IRQn</t>
  </si>
  <si>
    <t>DMA2_Stream2_IRQn</t>
  </si>
  <si>
    <t>DMA2_Stream3_IRQn</t>
  </si>
  <si>
    <t>DMA2_Stream4_IRQn</t>
  </si>
  <si>
    <t>ETH_IRQn</t>
  </si>
  <si>
    <t>ETH_WKUP_IRQn</t>
  </si>
  <si>
    <t>FDCAN_CAL_IRQn</t>
  </si>
  <si>
    <t>DMA2_Stream5_IRQn</t>
  </si>
  <si>
    <t>DMA2_Stream6_IRQn</t>
  </si>
  <si>
    <t>DMA2_Stream7_IRQn</t>
  </si>
  <si>
    <t>USART6_IRQn</t>
  </si>
  <si>
    <t>OTG_HS_EP1_OUT_IRQn</t>
  </si>
  <si>
    <t>OTG_HS_EP1_IN_IRQn</t>
  </si>
  <si>
    <t>OTG_HS_WKUP_IRQn</t>
  </si>
  <si>
    <t>OTG_HS_IRQn</t>
  </si>
  <si>
    <t>UART7_IRQn</t>
  </si>
  <si>
    <t>UART8_IRQn</t>
  </si>
  <si>
    <t>SPI5_IRQn</t>
  </si>
  <si>
    <t>SPI6_IRQn</t>
  </si>
  <si>
    <t>LTDC_IRQn</t>
  </si>
  <si>
    <t>LTDC_ER_IRQn</t>
  </si>
  <si>
    <t>DMA2D_IRQn</t>
  </si>
  <si>
    <t>CEC_IRQn</t>
  </si>
  <si>
    <t>SPDIF_RX_IRQn</t>
  </si>
  <si>
    <t>DMAMUX1_OVR_IRQn</t>
  </si>
  <si>
    <t>DFSDM1_FLT0_IRQn</t>
  </si>
  <si>
    <t>DFSDM1_FLT1_IRQn</t>
  </si>
  <si>
    <t>DFSDM1_FLT2_IRQn</t>
  </si>
  <si>
    <t>DFSDM1_FLT3_IRQn</t>
  </si>
  <si>
    <t>SWPMI1_IRQn</t>
  </si>
  <si>
    <t>TIM15_IRQn</t>
  </si>
  <si>
    <t>TIM16_IRQn</t>
  </si>
  <si>
    <t>TIM17_IRQn</t>
  </si>
  <si>
    <t>MDIOS_WKUP_IRQn</t>
  </si>
  <si>
    <t>MDIOS_IRQn</t>
  </si>
  <si>
    <t>MDMA_IRQn</t>
  </si>
  <si>
    <t>SDMMC2_IRQn</t>
  </si>
  <si>
    <t>HSEM1_IRQn</t>
  </si>
  <si>
    <t>DMAMUX2_OVR_IRQn</t>
  </si>
  <si>
    <t>BDMA_Channel0_IRQn</t>
  </si>
  <si>
    <t>BDMA_Channel1_IRQn</t>
  </si>
  <si>
    <t>BDMA_Channel2_IRQn</t>
  </si>
  <si>
    <t>BDMA_Channel3_IRQn</t>
  </si>
  <si>
    <t>BDMA_Channel4_IRQn</t>
  </si>
  <si>
    <t>BDMA_Channel5_IRQn</t>
  </si>
  <si>
    <t>BDMA_Channel6_IRQn</t>
  </si>
  <si>
    <t>BDMA_Channel7_IRQn</t>
  </si>
  <si>
    <t>COMP_IRQn</t>
  </si>
  <si>
    <t>LPTIM2_IRQn</t>
  </si>
  <si>
    <t>LPTIM3_IRQn</t>
  </si>
  <si>
    <t>LPTIM4_IRQn</t>
  </si>
  <si>
    <t>LPTIM5_IRQn</t>
  </si>
  <si>
    <t>ECC_IRQn</t>
  </si>
  <si>
    <t>SAI4_IRQn</t>
  </si>
  <si>
    <t>WAKEUP_PIN_IRQn</t>
  </si>
  <si>
    <t>TIM13</t>
  </si>
  <si>
    <t>TIM14</t>
  </si>
  <si>
    <t>RTC</t>
  </si>
  <si>
    <t>WWDG1</t>
  </si>
  <si>
    <t>SPI5</t>
  </si>
  <si>
    <t>SPI6</t>
  </si>
  <si>
    <t>USART6</t>
  </si>
  <si>
    <t>UART7</t>
  </si>
  <si>
    <t>UART8</t>
  </si>
  <si>
    <t>I2C1</t>
  </si>
  <si>
    <t>I2C4</t>
  </si>
  <si>
    <t>CEC</t>
  </si>
  <si>
    <t>LPUART1</t>
  </si>
  <si>
    <t>LPTIM2</t>
  </si>
  <si>
    <t>LPTIM3</t>
  </si>
  <si>
    <t>LPTIM4</t>
  </si>
  <si>
    <t>OPAMP</t>
  </si>
  <si>
    <t>TIM12</t>
  </si>
  <si>
    <t>SAI4</t>
  </si>
  <si>
    <t>SPDIFRX</t>
  </si>
  <si>
    <t>DMA2D</t>
  </si>
  <si>
    <t>DCMI</t>
  </si>
  <si>
    <t>GPIOH</t>
  </si>
  <si>
    <t>GPIOJ</t>
  </si>
  <si>
    <t>GPIOK</t>
  </si>
  <si>
    <t>SDMMC2</t>
  </si>
  <si>
    <t>BDMA</t>
  </si>
  <si>
    <t>MDMA</t>
  </si>
  <si>
    <t>APB3</t>
  </si>
  <si>
    <t>APB4</t>
  </si>
  <si>
    <t>DFSDM1</t>
  </si>
  <si>
    <t>VREF</t>
  </si>
  <si>
    <t>AHB3</t>
  </si>
  <si>
    <t>AHB4</t>
  </si>
  <si>
    <t>SDMMC1</t>
  </si>
  <si>
    <t>HSEM</t>
  </si>
  <si>
    <t>LTDC</t>
  </si>
  <si>
    <t>GPIO_H</t>
  </si>
  <si>
    <t>ADC_IRQHandler</t>
  </si>
  <si>
    <t>0x1FF1E820</t>
  </si>
  <si>
    <t>0x1FF1E860</t>
  </si>
  <si>
    <t>ADC_CHANNEL_20</t>
  </si>
  <si>
    <t>ADC_CHANNEL_19</t>
  </si>
  <si>
    <t>see _adc.h LL_ADC_CHANNEL</t>
  </si>
  <si>
    <t>COMP12</t>
  </si>
  <si>
    <t>LPTIM5</t>
  </si>
  <si>
    <t>RNG</t>
  </si>
  <si>
    <t>D2SRAM2</t>
  </si>
  <si>
    <t>D2SRAM1</t>
  </si>
  <si>
    <t>ETH1MAC</t>
  </si>
  <si>
    <t>ETH1TX</t>
  </si>
  <si>
    <t>ETH1RX</t>
  </si>
  <si>
    <t>SWPMI1</t>
  </si>
  <si>
    <t>DMAMUX2</t>
  </si>
  <si>
    <t>UART7_IRQHandler</t>
  </si>
  <si>
    <t>UART8_IRQHandler</t>
  </si>
  <si>
    <t>USART6_IRQHandler</t>
  </si>
  <si>
    <t>GPIOG</t>
  </si>
  <si>
    <t>DCMI_IRQn</t>
  </si>
  <si>
    <t>CRYP_IRQn</t>
  </si>
  <si>
    <t>HASH_RNG_IRQn</t>
  </si>
  <si>
    <t>SAI2_IRQn</t>
  </si>
  <si>
    <t>QUADSPI_IRQn</t>
  </si>
  <si>
    <t>OTG_FS_EP1_OUT_IRQn</t>
  </si>
  <si>
    <t>OTG_FS_EP1_IN_IRQn</t>
  </si>
  <si>
    <t>OTG_FS_WKUP_IRQn</t>
  </si>
  <si>
    <t>OTG_FS_IRQn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</si>
  <si>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</si>
  <si>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</si>
  <si>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</si>
  <si>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</si>
  <si>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</si>
  <si>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</si>
  <si>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</si>
  <si>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SAI3_IRQn</t>
  </si>
  <si>
    <t>JPEG_IRQn</t>
  </si>
  <si>
    <t>CRYP</t>
  </si>
  <si>
    <t>HASH</t>
  </si>
  <si>
    <t>GPIOI</t>
  </si>
  <si>
    <t>CRC</t>
  </si>
  <si>
    <t>MDIOS</t>
  </si>
  <si>
    <t>SAI2</t>
  </si>
  <si>
    <t>SAI3</t>
  </si>
  <si>
    <t>USB1_OTG_HS</t>
  </si>
  <si>
    <t>BKPRAM</t>
  </si>
  <si>
    <t>DAC12</t>
  </si>
  <si>
    <t>QSPI</t>
  </si>
  <si>
    <t>JPGDECEN</t>
  </si>
  <si>
    <t>D2SRAM3</t>
  </si>
  <si>
    <t>USB1_OTG_HS_ULPI</t>
  </si>
  <si>
    <t xml:space="preserve">stm32h753.h for example and hal_rcc and PeriphericHelp.py script </t>
  </si>
  <si>
    <t>TS_CAL2</t>
  </si>
  <si>
    <t>FALSE</t>
  </si>
  <si>
    <t>SysTick, cannot be used</t>
  </si>
  <si>
    <t>PLL1P</t>
  </si>
  <si>
    <t>PLL1Q</t>
  </si>
  <si>
    <t>PLL1R</t>
  </si>
  <si>
    <t>PLL2P</t>
  </si>
  <si>
    <t>PLL2Q</t>
  </si>
  <si>
    <t>PLL2R</t>
  </si>
  <si>
    <t>PLL3P</t>
  </si>
  <si>
    <t>PLL3Q</t>
  </si>
  <si>
    <t>PLL3R</t>
  </si>
  <si>
    <t>Yes</t>
  </si>
  <si>
    <t>TIMER_14</t>
  </si>
  <si>
    <t>TIMER_13</t>
  </si>
  <si>
    <t>Encoder cfg</t>
  </si>
  <si>
    <t>Timer</t>
  </si>
  <si>
    <t>Channel</t>
  </si>
  <si>
    <t>TI1_Pin</t>
  </si>
  <si>
    <t>TI1_Port</t>
  </si>
  <si>
    <t>TI2_Port</t>
  </si>
  <si>
    <t>TI2_Pin</t>
  </si>
  <si>
    <t>Alternate Function</t>
  </si>
  <si>
    <t>CHANNEL_1, CHANNEL_2</t>
  </si>
  <si>
    <t>TIMER_2</t>
  </si>
  <si>
    <t>TIMER_3</t>
  </si>
  <si>
    <t>TIMER_12</t>
  </si>
  <si>
    <t>GPIO_AF4_TIM15</t>
  </si>
  <si>
    <t>GPIO_AF2_TIM12</t>
  </si>
  <si>
    <t>FDCAN_2</t>
  </si>
  <si>
    <t>GPIO_AF1_TIM2</t>
  </si>
  <si>
    <t>GPIO_AF2_TIM5</t>
  </si>
  <si>
    <t>GPIO_AF2_TIM3</t>
  </si>
  <si>
    <t>GPIO_AF3_TIM8</t>
  </si>
  <si>
    <t>GPIO_AF9_TIM13</t>
  </si>
  <si>
    <t>GPIO_AF9_TIM14</t>
  </si>
  <si>
    <t>GPIO_AF1_TIM1</t>
  </si>
  <si>
    <t>GPIO_AF2_HRTIM1</t>
  </si>
  <si>
    <t>GPIO_AF7_USART1</t>
  </si>
  <si>
    <t>GPIO_AF7_USART2</t>
  </si>
  <si>
    <t>GPIO_AF7_USART6</t>
  </si>
  <si>
    <t>TIM8_TRG_COM_TIM14_Irqn</t>
  </si>
  <si>
    <t>0x1FF1E840</t>
  </si>
  <si>
    <t>USART6_RX</t>
  </si>
  <si>
    <t>USART6_TX</t>
  </si>
  <si>
    <t>CHANNEL_8</t>
  </si>
  <si>
    <t>DMA1_Channel8_IRQHandler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</si>
</sst>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6" xfId="0" applyFont="1" applyFill="1" applyBorder="1"/>
    <xf numFmtId="0" fontId="0" fillId="0" borderId="6" xfId="0" applyFont="1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O18:S32" totalsRowShown="0">
  <autoFilter ref="O18:S32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T43:U51" totalsRowShown="0">
  <autoFilter ref="T43:U51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AC36:AD37" totalsRowShown="0">
  <autoFilter ref="AC36:AD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L18:M158" totalsRowShown="0">
  <autoFilter ref="L18:M158" xr:uid="{0BD818BF-294B-4FA2-8E5A-7FD1DB70B357}"/>
  <sortState xmlns:xlrd2="http://schemas.microsoft.com/office/spreadsheetml/2017/richdata2" ref="L19:M158">
    <sortCondition ref="L18:L158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H18:J114" totalsRowShown="0">
  <autoFilter ref="H18:J114" xr:uid="{9B4F1398-0B6D-4B55-A4C3-611E0B66A012}"/>
  <sortState xmlns:xlrd2="http://schemas.microsoft.com/office/spreadsheetml/2017/richdata2" ref="H19:J114">
    <sortCondition ref="H18:H114"/>
  </sortState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F20:AH22" totalsRowShown="0">
  <autoFilter ref="AF20:AH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J40:AJ43" totalsRowShown="0">
  <autoFilter ref="AJ40:AJ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J46:AJ49" totalsRowShown="0">
  <autoFilter ref="AJ46:AJ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J52:AJ72" totalsRowShown="0">
  <autoFilter ref="AJ52:AJ7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Z40:AC43" totalsRowShown="0">
  <autoFilter ref="Z40:AC43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V17:X18" totalsRowShown="0">
  <autoFilter ref="V17:X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27" totalsRowShown="0">
  <autoFilter ref="A6:B27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31" totalsRowShown="0">
  <autoFilter ref="AA7:AB31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4" totalsRowShown="0">
  <autoFilter ref="J6:N14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2" totalsRowShown="0">
  <autoFilter ref="W6:Y12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5" totalsRowShown="0">
  <autoFilter ref="P6:U25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21" totalsRowShown="0">
  <autoFilter ref="E6:H2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X5:AX21" totalsRowShown="0">
  <autoFilter ref="AX5:AX21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Z6:AZ10" totalsRowShown="0">
  <autoFilter ref="AZ6:AZ10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B5:BB26" totalsRowShown="0">
  <autoFilter ref="BB5:BB26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K45:P47" totalsRowShown="0">
  <autoFilter ref="K45:P47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02B856E-D01E-4A8C-8208-1406C54C0BB0}" name="FMKIO_EcdrCfg" displayName="FMKIO_EcdrCfg" ref="K36:Q38" totalsRowShown="0">
  <autoFilter ref="K36:Q38" xr:uid="{E02B856E-D01E-4A8C-8208-1406C54C0BB0}"/>
  <tableColumns count="7">
    <tableColumn id="1" xr3:uid="{A26AA337-C773-4712-A268-4BC1750DF480}" name="TI1_Port"/>
    <tableColumn id="4" xr3:uid="{4AA947A3-B8F2-42ED-8CE3-C9B154A54E6F}" name="TI1_Pin"/>
    <tableColumn id="6" xr3:uid="{588A9F38-62B8-4FF2-8E3E-5F2777764120}" name="TI2_Port"/>
    <tableColumn id="5" xr3:uid="{4FBC1929-A890-457A-8180-31FF2ACD8268}" name="TI2_Pin"/>
    <tableColumn id="2" xr3:uid="{FC18B761-91B2-4B6F-90D5-5A589A9B6DED}" name="Timer"/>
    <tableColumn id="7" xr3:uid="{1CCF5D25-EA98-4573-AACE-5F9E63FE1986}" name="Channel"/>
    <tableColumn id="3" xr3:uid="{87D7A960-3970-4D2A-9772-CAD3E037F054}" name="Alternate Func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1" totalsRowShown="0">
  <autoFilter ref="Y5:Y11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0" totalsRowShown="0">
  <autoFilter ref="T17:W20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0" totalsRowShown="0">
  <autoFilter ref="E8:F10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1" totalsRowShown="0">
  <autoFilter ref="B2:E11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9" totalsRowShown="0">
  <autoFilter ref="J3:K19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5" totalsRowShown="0">
  <autoFilter ref="P3:P5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9" totalsRowShown="0">
  <autoFilter ref="B5:B9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7" totalsRowShown="0">
  <autoFilter ref="D5:G7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10" totalsRowShown="0">
  <autoFilter ref="E2:M10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J158"/>
  <sheetViews>
    <sheetView topLeftCell="X23" zoomScale="65" zoomScaleNormal="85" workbookViewId="0">
      <selection activeCell="O19" sqref="O19:O32"/>
    </sheetView>
  </sheetViews>
  <sheetFormatPr baseColWidth="10" defaultRowHeight="14.4" x14ac:dyDescent="0.3"/>
  <cols>
    <col min="1" max="1" width="23.6640625" customWidth="1"/>
    <col min="2" max="6" width="24.77734375" customWidth="1"/>
    <col min="7" max="7" width="37.33203125" customWidth="1"/>
    <col min="8" max="8" width="26.44140625" customWidth="1"/>
    <col min="9" max="10" width="25.109375" customWidth="1"/>
    <col min="11" max="11" width="33.109375" customWidth="1"/>
    <col min="12" max="12" width="26.88671875" customWidth="1"/>
    <col min="13" max="13" width="21.44140625" customWidth="1"/>
    <col min="14" max="14" width="21.33203125" customWidth="1"/>
    <col min="15" max="15" width="18.33203125" customWidth="1"/>
    <col min="16" max="16" width="20.44140625" customWidth="1"/>
    <col min="17" max="17" width="31.44140625" bestFit="1" customWidth="1"/>
    <col min="18" max="18" width="21.33203125" customWidth="1"/>
    <col min="19" max="19" width="22.77734375" customWidth="1"/>
    <col min="20" max="20" width="23.44140625" customWidth="1"/>
    <col min="21" max="21" width="20.6640625" customWidth="1"/>
    <col min="22" max="22" width="21" customWidth="1"/>
    <col min="23" max="23" width="33.88671875" customWidth="1"/>
    <col min="24" max="24" width="35.33203125" customWidth="1"/>
    <col min="25" max="25" width="21.21875" customWidth="1"/>
    <col min="26" max="26" width="19.109375" customWidth="1"/>
    <col min="27" max="27" width="18.77734375" customWidth="1"/>
    <col min="28" max="28" width="29.21875" customWidth="1"/>
    <col min="30" max="30" width="17.44140625" customWidth="1"/>
    <col min="32" max="32" width="24" customWidth="1"/>
    <col min="35" max="35" width="17.77734375" customWidth="1"/>
  </cols>
  <sheetData>
    <row r="17" spans="1:34" x14ac:dyDescent="0.3">
      <c r="H17" t="s">
        <v>520</v>
      </c>
      <c r="V17" t="s">
        <v>328</v>
      </c>
      <c r="W17" t="s">
        <v>329</v>
      </c>
      <c r="X17" t="s">
        <v>330</v>
      </c>
    </row>
    <row r="18" spans="1:34" x14ac:dyDescent="0.3">
      <c r="B18" t="s">
        <v>115</v>
      </c>
      <c r="H18" t="s">
        <v>19</v>
      </c>
      <c r="I18" t="s">
        <v>208</v>
      </c>
      <c r="J18" t="s">
        <v>284</v>
      </c>
      <c r="L18" t="s">
        <v>54</v>
      </c>
      <c r="M18" t="s">
        <v>55</v>
      </c>
      <c r="O18" t="s">
        <v>1</v>
      </c>
      <c r="P18" t="s">
        <v>2</v>
      </c>
      <c r="Q18" t="s">
        <v>183</v>
      </c>
      <c r="R18" t="s">
        <v>184</v>
      </c>
      <c r="S18" t="s">
        <v>207</v>
      </c>
      <c r="V18" t="s">
        <v>175</v>
      </c>
      <c r="W18">
        <v>5</v>
      </c>
      <c r="X18">
        <v>2</v>
      </c>
    </row>
    <row r="19" spans="1:34" x14ac:dyDescent="0.3">
      <c r="B19" t="s">
        <v>354</v>
      </c>
      <c r="H19" t="s">
        <v>168</v>
      </c>
      <c r="I19" t="s">
        <v>527</v>
      </c>
      <c r="J19" t="s">
        <v>533</v>
      </c>
      <c r="L19" t="s">
        <v>364</v>
      </c>
      <c r="M19" t="s">
        <v>65</v>
      </c>
      <c r="O19" t="s">
        <v>67</v>
      </c>
      <c r="P19">
        <v>4</v>
      </c>
      <c r="Q19" t="s">
        <v>366</v>
      </c>
      <c r="R19" t="s">
        <v>186</v>
      </c>
      <c r="S19" t="s">
        <v>206</v>
      </c>
    </row>
    <row r="20" spans="1:34" x14ac:dyDescent="0.3">
      <c r="H20" t="s">
        <v>282</v>
      </c>
      <c r="I20" t="s">
        <v>527</v>
      </c>
      <c r="J20" t="s">
        <v>533</v>
      </c>
      <c r="L20" t="s">
        <v>135</v>
      </c>
      <c r="M20" t="s">
        <v>65</v>
      </c>
      <c r="O20" t="s">
        <v>447</v>
      </c>
      <c r="P20">
        <v>2</v>
      </c>
      <c r="Q20" t="s">
        <v>368</v>
      </c>
      <c r="R20" t="s">
        <v>186</v>
      </c>
      <c r="S20" t="s">
        <v>205</v>
      </c>
      <c r="AF20" t="s">
        <v>20</v>
      </c>
      <c r="AG20" t="s">
        <v>16</v>
      </c>
      <c r="AH20" t="s">
        <v>190</v>
      </c>
    </row>
    <row r="21" spans="1:34" x14ac:dyDescent="0.3">
      <c r="H21" t="s">
        <v>456</v>
      </c>
      <c r="I21" t="s">
        <v>463</v>
      </c>
      <c r="J21" t="s">
        <v>283</v>
      </c>
      <c r="L21" t="s">
        <v>414</v>
      </c>
      <c r="M21" t="s">
        <v>65</v>
      </c>
      <c r="O21" t="s">
        <v>430</v>
      </c>
      <c r="P21">
        <v>1</v>
      </c>
      <c r="Q21" t="s">
        <v>369</v>
      </c>
      <c r="R21" t="s">
        <v>186</v>
      </c>
      <c r="S21" t="s">
        <v>205</v>
      </c>
      <c r="AF21" t="s">
        <v>239</v>
      </c>
      <c r="AG21">
        <v>8</v>
      </c>
      <c r="AH21" t="s">
        <v>80</v>
      </c>
    </row>
    <row r="22" spans="1:34" x14ac:dyDescent="0.3">
      <c r="H22" t="s">
        <v>514</v>
      </c>
      <c r="I22" t="s">
        <v>463</v>
      </c>
      <c r="J22" t="s">
        <v>283</v>
      </c>
      <c r="L22" t="s">
        <v>415</v>
      </c>
      <c r="M22" t="s">
        <v>65</v>
      </c>
      <c r="O22" t="s">
        <v>431</v>
      </c>
      <c r="P22">
        <v>4</v>
      </c>
      <c r="Q22" t="s">
        <v>562</v>
      </c>
      <c r="R22" t="s">
        <v>186</v>
      </c>
      <c r="S22" t="s">
        <v>205</v>
      </c>
      <c r="AF22" t="s">
        <v>240</v>
      </c>
      <c r="AG22">
        <v>8</v>
      </c>
      <c r="AH22" t="s">
        <v>164</v>
      </c>
    </row>
    <row r="23" spans="1:34" x14ac:dyDescent="0.3">
      <c r="H23" t="s">
        <v>441</v>
      </c>
      <c r="I23" t="s">
        <v>205</v>
      </c>
      <c r="J23" t="s">
        <v>283</v>
      </c>
      <c r="L23" t="s">
        <v>416</v>
      </c>
      <c r="M23" t="s">
        <v>65</v>
      </c>
      <c r="O23" t="s">
        <v>69</v>
      </c>
      <c r="P23">
        <v>2</v>
      </c>
      <c r="Q23" t="s">
        <v>405</v>
      </c>
      <c r="R23" t="s">
        <v>186</v>
      </c>
      <c r="S23" t="s">
        <v>206</v>
      </c>
    </row>
    <row r="24" spans="1:34" x14ac:dyDescent="0.3">
      <c r="H24" t="s">
        <v>474</v>
      </c>
      <c r="I24" t="s">
        <v>459</v>
      </c>
      <c r="J24" t="s">
        <v>283</v>
      </c>
      <c r="L24" t="s">
        <v>417</v>
      </c>
      <c r="M24" t="s">
        <v>65</v>
      </c>
      <c r="O24" t="s">
        <v>70</v>
      </c>
      <c r="P24">
        <v>1</v>
      </c>
      <c r="Q24" t="s">
        <v>406</v>
      </c>
      <c r="R24" t="s">
        <v>186</v>
      </c>
      <c r="S24" t="s">
        <v>206</v>
      </c>
    </row>
    <row r="25" spans="1:34" x14ac:dyDescent="0.3">
      <c r="H25" t="s">
        <v>509</v>
      </c>
      <c r="I25" t="s">
        <v>463</v>
      </c>
      <c r="J25" t="s">
        <v>283</v>
      </c>
      <c r="L25" t="s">
        <v>418</v>
      </c>
      <c r="M25" t="s">
        <v>65</v>
      </c>
      <c r="O25" t="s">
        <v>71</v>
      </c>
      <c r="P25">
        <v>1</v>
      </c>
      <c r="Q25" t="s">
        <v>407</v>
      </c>
      <c r="R25" t="s">
        <v>186</v>
      </c>
      <c r="S25" t="s">
        <v>206</v>
      </c>
    </row>
    <row r="26" spans="1:34" x14ac:dyDescent="0.3">
      <c r="H26" t="s">
        <v>171</v>
      </c>
      <c r="I26" t="s">
        <v>205</v>
      </c>
      <c r="J26" t="s">
        <v>283</v>
      </c>
      <c r="L26" t="s">
        <v>419</v>
      </c>
      <c r="M26" t="s">
        <v>65</v>
      </c>
      <c r="O26" t="s">
        <v>163</v>
      </c>
      <c r="P26">
        <v>4</v>
      </c>
      <c r="Q26" t="s">
        <v>125</v>
      </c>
      <c r="R26" t="s">
        <v>186</v>
      </c>
      <c r="S26" t="s">
        <v>205</v>
      </c>
    </row>
    <row r="27" spans="1:34" x14ac:dyDescent="0.3">
      <c r="A27" t="s">
        <v>193</v>
      </c>
      <c r="B27" t="s">
        <v>195</v>
      </c>
      <c r="H27" t="s">
        <v>506</v>
      </c>
      <c r="I27" t="s">
        <v>213</v>
      </c>
      <c r="J27" t="s">
        <v>283</v>
      </c>
      <c r="L27" t="s">
        <v>420</v>
      </c>
      <c r="M27" t="s">
        <v>65</v>
      </c>
      <c r="O27" t="s">
        <v>68</v>
      </c>
      <c r="P27">
        <v>4</v>
      </c>
      <c r="Q27" t="s">
        <v>60</v>
      </c>
      <c r="R27" t="s">
        <v>186</v>
      </c>
      <c r="S27" t="s">
        <v>205</v>
      </c>
    </row>
    <row r="28" spans="1:34" x14ac:dyDescent="0.3">
      <c r="A28" t="s">
        <v>194</v>
      </c>
      <c r="B28">
        <v>60</v>
      </c>
      <c r="H28" t="s">
        <v>478</v>
      </c>
      <c r="I28" t="s">
        <v>213</v>
      </c>
      <c r="J28" t="s">
        <v>283</v>
      </c>
      <c r="L28" t="s">
        <v>421</v>
      </c>
      <c r="M28" t="s">
        <v>65</v>
      </c>
      <c r="O28" t="s">
        <v>162</v>
      </c>
      <c r="P28">
        <v>4</v>
      </c>
      <c r="Q28" t="s">
        <v>126</v>
      </c>
      <c r="R28" t="s">
        <v>186</v>
      </c>
      <c r="S28" t="s">
        <v>205</v>
      </c>
    </row>
    <row r="29" spans="1:34" x14ac:dyDescent="0.3">
      <c r="A29" t="s">
        <v>172</v>
      </c>
      <c r="B29">
        <v>170</v>
      </c>
      <c r="H29" t="s">
        <v>477</v>
      </c>
      <c r="I29" t="s">
        <v>213</v>
      </c>
      <c r="J29" t="s">
        <v>283</v>
      </c>
      <c r="L29" t="s">
        <v>397</v>
      </c>
      <c r="M29" t="s">
        <v>65</v>
      </c>
      <c r="O29" t="s">
        <v>170</v>
      </c>
      <c r="P29">
        <v>4</v>
      </c>
      <c r="Q29" t="s">
        <v>138</v>
      </c>
      <c r="R29" t="s">
        <v>186</v>
      </c>
      <c r="S29" t="s">
        <v>205</v>
      </c>
    </row>
    <row r="30" spans="1:34" x14ac:dyDescent="0.3">
      <c r="H30" t="s">
        <v>518</v>
      </c>
      <c r="I30" t="s">
        <v>213</v>
      </c>
      <c r="J30" t="s">
        <v>283</v>
      </c>
      <c r="L30" t="s">
        <v>422</v>
      </c>
      <c r="M30" t="s">
        <v>65</v>
      </c>
      <c r="O30" t="s">
        <v>161</v>
      </c>
      <c r="P30">
        <v>0</v>
      </c>
      <c r="Q30" t="s">
        <v>142</v>
      </c>
      <c r="R30" t="s">
        <v>187</v>
      </c>
      <c r="S30" t="s">
        <v>205</v>
      </c>
    </row>
    <row r="31" spans="1:34" x14ac:dyDescent="0.3">
      <c r="H31" t="s">
        <v>515</v>
      </c>
      <c r="I31" t="s">
        <v>205</v>
      </c>
      <c r="J31" t="s">
        <v>283</v>
      </c>
      <c r="L31" t="s">
        <v>143</v>
      </c>
      <c r="M31" t="s">
        <v>65</v>
      </c>
      <c r="O31" t="s">
        <v>160</v>
      </c>
      <c r="P31">
        <v>0</v>
      </c>
      <c r="Q31" t="s">
        <v>373</v>
      </c>
      <c r="R31" t="s">
        <v>187</v>
      </c>
      <c r="S31" t="s">
        <v>205</v>
      </c>
    </row>
    <row r="32" spans="1:34" x14ac:dyDescent="0.3">
      <c r="H32" t="s">
        <v>451</v>
      </c>
      <c r="I32" t="s">
        <v>213</v>
      </c>
      <c r="J32" t="s">
        <v>283</v>
      </c>
      <c r="L32" t="s">
        <v>489</v>
      </c>
      <c r="M32" t="s">
        <v>65</v>
      </c>
      <c r="O32" t="s">
        <v>159</v>
      </c>
      <c r="P32">
        <v>4</v>
      </c>
      <c r="Q32" t="s">
        <v>369</v>
      </c>
      <c r="R32" t="s">
        <v>186</v>
      </c>
      <c r="S32" t="s">
        <v>206</v>
      </c>
    </row>
    <row r="33" spans="8:36" x14ac:dyDescent="0.3">
      <c r="H33" t="s">
        <v>460</v>
      </c>
      <c r="I33" t="s">
        <v>206</v>
      </c>
      <c r="J33" t="s">
        <v>283</v>
      </c>
      <c r="L33" t="s">
        <v>488</v>
      </c>
      <c r="M33" t="s">
        <v>65</v>
      </c>
    </row>
    <row r="34" spans="8:36" x14ac:dyDescent="0.3">
      <c r="H34" t="s">
        <v>80</v>
      </c>
      <c r="I34" t="s">
        <v>212</v>
      </c>
      <c r="J34" t="s">
        <v>283</v>
      </c>
      <c r="L34" t="s">
        <v>400</v>
      </c>
      <c r="M34" t="s">
        <v>65</v>
      </c>
    </row>
    <row r="35" spans="8:36" x14ac:dyDescent="0.3">
      <c r="H35" t="s">
        <v>164</v>
      </c>
      <c r="I35" t="s">
        <v>212</v>
      </c>
      <c r="J35" t="s">
        <v>283</v>
      </c>
      <c r="L35" t="s">
        <v>401</v>
      </c>
      <c r="M35" t="s">
        <v>65</v>
      </c>
    </row>
    <row r="36" spans="8:36" x14ac:dyDescent="0.3">
      <c r="H36" t="s">
        <v>450</v>
      </c>
      <c r="I36" t="s">
        <v>462</v>
      </c>
      <c r="J36" t="s">
        <v>283</v>
      </c>
      <c r="L36" t="s">
        <v>402</v>
      </c>
      <c r="M36" t="s">
        <v>65</v>
      </c>
      <c r="AC36" t="s">
        <v>17</v>
      </c>
      <c r="AD36" t="s">
        <v>16</v>
      </c>
    </row>
    <row r="37" spans="8:36" x14ac:dyDescent="0.3">
      <c r="H37" t="s">
        <v>479</v>
      </c>
      <c r="I37" t="s">
        <v>212</v>
      </c>
      <c r="J37" t="s">
        <v>283</v>
      </c>
      <c r="L37" t="s">
        <v>403</v>
      </c>
      <c r="M37" t="s">
        <v>65</v>
      </c>
      <c r="AC37" t="s">
        <v>18</v>
      </c>
      <c r="AD37" t="s">
        <v>18</v>
      </c>
    </row>
    <row r="38" spans="8:36" x14ac:dyDescent="0.3">
      <c r="H38" t="s">
        <v>481</v>
      </c>
      <c r="I38" t="s">
        <v>212</v>
      </c>
      <c r="J38" t="s">
        <v>283</v>
      </c>
      <c r="L38" t="s">
        <v>357</v>
      </c>
      <c r="M38" t="s">
        <v>65</v>
      </c>
    </row>
    <row r="39" spans="8:36" x14ac:dyDescent="0.3">
      <c r="H39" t="s">
        <v>480</v>
      </c>
      <c r="I39" t="s">
        <v>212</v>
      </c>
      <c r="J39" t="s">
        <v>283</v>
      </c>
      <c r="L39" t="s">
        <v>358</v>
      </c>
      <c r="M39" t="s">
        <v>65</v>
      </c>
    </row>
    <row r="40" spans="8:36" x14ac:dyDescent="0.3">
      <c r="H40" t="s">
        <v>172</v>
      </c>
      <c r="I40" t="s">
        <v>525</v>
      </c>
      <c r="J40" t="s">
        <v>533</v>
      </c>
      <c r="L40" t="s">
        <v>359</v>
      </c>
      <c r="M40" t="s">
        <v>65</v>
      </c>
      <c r="Z40" t="s">
        <v>15</v>
      </c>
      <c r="AA40" t="s">
        <v>16</v>
      </c>
      <c r="AB40" t="s">
        <v>189</v>
      </c>
      <c r="AC40" t="s">
        <v>190</v>
      </c>
      <c r="AJ40" t="s">
        <v>81</v>
      </c>
    </row>
    <row r="41" spans="8:36" x14ac:dyDescent="0.3">
      <c r="H41" t="s">
        <v>169</v>
      </c>
      <c r="I41" t="s">
        <v>462</v>
      </c>
      <c r="J41" t="s">
        <v>283</v>
      </c>
      <c r="L41" t="s">
        <v>360</v>
      </c>
      <c r="M41" t="s">
        <v>65</v>
      </c>
      <c r="Z41" t="s">
        <v>14</v>
      </c>
      <c r="AA41">
        <v>20</v>
      </c>
      <c r="AB41" t="s">
        <v>364</v>
      </c>
      <c r="AC41" t="s">
        <v>168</v>
      </c>
      <c r="AJ41" t="s">
        <v>82</v>
      </c>
    </row>
    <row r="42" spans="8:36" x14ac:dyDescent="0.3">
      <c r="H42" t="s">
        <v>76</v>
      </c>
      <c r="I42" t="s">
        <v>463</v>
      </c>
      <c r="J42" t="s">
        <v>283</v>
      </c>
      <c r="L42" t="s">
        <v>361</v>
      </c>
      <c r="M42" t="s">
        <v>65</v>
      </c>
      <c r="Z42" t="s">
        <v>181</v>
      </c>
      <c r="AA42">
        <v>20</v>
      </c>
      <c r="AB42" t="s">
        <v>364</v>
      </c>
      <c r="AC42" t="s">
        <v>168</v>
      </c>
      <c r="AJ42" t="s">
        <v>65</v>
      </c>
    </row>
    <row r="43" spans="8:36" x14ac:dyDescent="0.3">
      <c r="H43" t="s">
        <v>77</v>
      </c>
      <c r="I43" t="s">
        <v>463</v>
      </c>
      <c r="J43" t="s">
        <v>283</v>
      </c>
      <c r="L43" t="s">
        <v>362</v>
      </c>
      <c r="M43" t="s">
        <v>65</v>
      </c>
      <c r="T43" t="s">
        <v>7</v>
      </c>
      <c r="U43" t="s">
        <v>8</v>
      </c>
      <c r="Z43" t="s">
        <v>182</v>
      </c>
      <c r="AA43">
        <v>20</v>
      </c>
      <c r="AB43" t="s">
        <v>135</v>
      </c>
      <c r="AC43" t="s">
        <v>282</v>
      </c>
      <c r="AJ43" t="s">
        <v>83</v>
      </c>
    </row>
    <row r="44" spans="8:36" x14ac:dyDescent="0.3">
      <c r="H44" t="s">
        <v>78</v>
      </c>
      <c r="I44" t="s">
        <v>463</v>
      </c>
      <c r="J44" t="s">
        <v>283</v>
      </c>
      <c r="L44" t="s">
        <v>363</v>
      </c>
      <c r="M44" t="s">
        <v>65</v>
      </c>
      <c r="T44" t="s">
        <v>9</v>
      </c>
      <c r="U44">
        <v>16</v>
      </c>
    </row>
    <row r="45" spans="8:36" x14ac:dyDescent="0.3">
      <c r="H45" t="s">
        <v>166</v>
      </c>
      <c r="I45" t="s">
        <v>463</v>
      </c>
      <c r="J45" t="s">
        <v>283</v>
      </c>
      <c r="L45" t="s">
        <v>371</v>
      </c>
      <c r="M45" t="s">
        <v>65</v>
      </c>
      <c r="T45" t="s">
        <v>10</v>
      </c>
      <c r="U45">
        <v>16</v>
      </c>
    </row>
    <row r="46" spans="8:36" x14ac:dyDescent="0.3">
      <c r="H46" t="s">
        <v>165</v>
      </c>
      <c r="I46" t="s">
        <v>463</v>
      </c>
      <c r="J46" t="s">
        <v>283</v>
      </c>
      <c r="L46" t="s">
        <v>374</v>
      </c>
      <c r="M46" t="s">
        <v>65</v>
      </c>
      <c r="T46" t="s">
        <v>11</v>
      </c>
      <c r="U46">
        <v>16</v>
      </c>
      <c r="AJ46" t="s">
        <v>185</v>
      </c>
    </row>
    <row r="47" spans="8:36" x14ac:dyDescent="0.3">
      <c r="H47" t="s">
        <v>79</v>
      </c>
      <c r="I47" t="s">
        <v>463</v>
      </c>
      <c r="J47" t="s">
        <v>283</v>
      </c>
      <c r="L47" t="s">
        <v>375</v>
      </c>
      <c r="M47" t="s">
        <v>65</v>
      </c>
      <c r="T47" t="s">
        <v>12</v>
      </c>
      <c r="U47">
        <v>16</v>
      </c>
      <c r="AJ47" t="s">
        <v>186</v>
      </c>
    </row>
    <row r="48" spans="8:36" x14ac:dyDescent="0.3">
      <c r="H48" t="s">
        <v>487</v>
      </c>
      <c r="I48" t="s">
        <v>463</v>
      </c>
      <c r="J48" t="s">
        <v>283</v>
      </c>
      <c r="L48" t="s">
        <v>376</v>
      </c>
      <c r="M48" t="s">
        <v>65</v>
      </c>
      <c r="T48" t="s">
        <v>179</v>
      </c>
      <c r="U48">
        <v>16</v>
      </c>
      <c r="AJ48" t="s">
        <v>187</v>
      </c>
    </row>
    <row r="49" spans="8:36" x14ac:dyDescent="0.3">
      <c r="H49" t="s">
        <v>452</v>
      </c>
      <c r="I49" t="s">
        <v>463</v>
      </c>
      <c r="J49" t="s">
        <v>283</v>
      </c>
      <c r="L49" t="s">
        <v>377</v>
      </c>
      <c r="M49" t="s">
        <v>65</v>
      </c>
      <c r="T49" t="s">
        <v>13</v>
      </c>
      <c r="U49">
        <v>16</v>
      </c>
      <c r="AJ49" t="s">
        <v>188</v>
      </c>
    </row>
    <row r="50" spans="8:36" x14ac:dyDescent="0.3">
      <c r="H50" t="s">
        <v>508</v>
      </c>
      <c r="I50" t="s">
        <v>463</v>
      </c>
      <c r="J50" t="s">
        <v>283</v>
      </c>
      <c r="L50" t="s">
        <v>378</v>
      </c>
      <c r="M50" t="s">
        <v>65</v>
      </c>
      <c r="T50" t="s">
        <v>180</v>
      </c>
      <c r="U50">
        <v>11</v>
      </c>
    </row>
    <row r="51" spans="8:36" x14ac:dyDescent="0.3">
      <c r="H51" t="s">
        <v>453</v>
      </c>
      <c r="I51" t="s">
        <v>463</v>
      </c>
      <c r="J51" t="s">
        <v>283</v>
      </c>
      <c r="L51" t="s">
        <v>382</v>
      </c>
      <c r="M51" t="s">
        <v>65</v>
      </c>
      <c r="T51" t="s">
        <v>467</v>
      </c>
      <c r="U51">
        <v>2</v>
      </c>
    </row>
    <row r="52" spans="8:36" x14ac:dyDescent="0.3">
      <c r="H52" t="s">
        <v>454</v>
      </c>
      <c r="I52" t="s">
        <v>463</v>
      </c>
      <c r="J52" t="s">
        <v>283</v>
      </c>
      <c r="L52" t="s">
        <v>383</v>
      </c>
      <c r="M52" t="s">
        <v>65</v>
      </c>
      <c r="AJ52" t="s">
        <v>204</v>
      </c>
    </row>
    <row r="53" spans="8:36" x14ac:dyDescent="0.3">
      <c r="H53" t="s">
        <v>507</v>
      </c>
      <c r="I53" t="s">
        <v>213</v>
      </c>
      <c r="J53" t="s">
        <v>283</v>
      </c>
      <c r="L53" t="s">
        <v>384</v>
      </c>
      <c r="M53" t="s">
        <v>65</v>
      </c>
      <c r="AJ53" t="s">
        <v>209</v>
      </c>
    </row>
    <row r="54" spans="8:36" x14ac:dyDescent="0.3">
      <c r="H54" t="s">
        <v>175</v>
      </c>
      <c r="I54" t="s">
        <v>206</v>
      </c>
      <c r="J54" t="s">
        <v>283</v>
      </c>
      <c r="L54" t="s">
        <v>396</v>
      </c>
      <c r="M54" t="s">
        <v>65</v>
      </c>
      <c r="AJ54" t="s">
        <v>210</v>
      </c>
    </row>
    <row r="55" spans="8:36" x14ac:dyDescent="0.3">
      <c r="H55" t="s">
        <v>465</v>
      </c>
      <c r="I55" t="s">
        <v>463</v>
      </c>
      <c r="J55" t="s">
        <v>283</v>
      </c>
      <c r="L55" t="s">
        <v>399</v>
      </c>
      <c r="M55" t="s">
        <v>65</v>
      </c>
      <c r="AJ55" t="s">
        <v>211</v>
      </c>
    </row>
    <row r="56" spans="8:36" x14ac:dyDescent="0.3">
      <c r="H56" t="s">
        <v>439</v>
      </c>
      <c r="I56" t="s">
        <v>205</v>
      </c>
      <c r="J56" t="s">
        <v>283</v>
      </c>
      <c r="L56" t="s">
        <v>413</v>
      </c>
      <c r="M56" t="s">
        <v>65</v>
      </c>
      <c r="AJ56" t="s">
        <v>212</v>
      </c>
    </row>
    <row r="57" spans="8:36" x14ac:dyDescent="0.3">
      <c r="H57" t="s">
        <v>155</v>
      </c>
      <c r="I57" t="s">
        <v>205</v>
      </c>
      <c r="J57" t="s">
        <v>283</v>
      </c>
      <c r="L57" t="s">
        <v>427</v>
      </c>
      <c r="M57" t="s">
        <v>65</v>
      </c>
      <c r="AJ57" t="s">
        <v>213</v>
      </c>
    </row>
    <row r="58" spans="8:36" x14ac:dyDescent="0.3">
      <c r="H58" t="s">
        <v>154</v>
      </c>
      <c r="I58" t="s">
        <v>205</v>
      </c>
      <c r="J58" t="s">
        <v>283</v>
      </c>
      <c r="L58" t="s">
        <v>379</v>
      </c>
      <c r="M58" t="s">
        <v>65</v>
      </c>
      <c r="AJ58" t="s">
        <v>462</v>
      </c>
    </row>
    <row r="59" spans="8:36" x14ac:dyDescent="0.3">
      <c r="H59" t="s">
        <v>440</v>
      </c>
      <c r="I59" t="s">
        <v>459</v>
      </c>
      <c r="J59" t="s">
        <v>283</v>
      </c>
      <c r="L59" t="s">
        <v>380</v>
      </c>
      <c r="M59" t="s">
        <v>65</v>
      </c>
      <c r="AJ59" t="s">
        <v>463</v>
      </c>
    </row>
    <row r="60" spans="8:36" x14ac:dyDescent="0.3">
      <c r="H60" t="s">
        <v>517</v>
      </c>
      <c r="I60" t="s">
        <v>462</v>
      </c>
      <c r="J60" t="s">
        <v>283</v>
      </c>
      <c r="L60" t="s">
        <v>117</v>
      </c>
      <c r="M60" t="s">
        <v>65</v>
      </c>
      <c r="AJ60" t="s">
        <v>205</v>
      </c>
    </row>
    <row r="61" spans="8:36" x14ac:dyDescent="0.3">
      <c r="H61" t="s">
        <v>158</v>
      </c>
      <c r="I61" t="s">
        <v>205</v>
      </c>
      <c r="J61" t="s">
        <v>283</v>
      </c>
      <c r="L61" t="s">
        <v>118</v>
      </c>
      <c r="M61" t="s">
        <v>65</v>
      </c>
      <c r="AJ61" t="s">
        <v>206</v>
      </c>
    </row>
    <row r="62" spans="8:36" x14ac:dyDescent="0.3">
      <c r="H62" t="s">
        <v>443</v>
      </c>
      <c r="I62" t="s">
        <v>459</v>
      </c>
      <c r="J62" t="s">
        <v>283</v>
      </c>
      <c r="L62" t="s">
        <v>132</v>
      </c>
      <c r="M62" t="s">
        <v>65</v>
      </c>
      <c r="AJ62" t="s">
        <v>458</v>
      </c>
    </row>
    <row r="63" spans="8:36" x14ac:dyDescent="0.3">
      <c r="H63" t="s">
        <v>444</v>
      </c>
      <c r="I63" t="s">
        <v>459</v>
      </c>
      <c r="J63" t="s">
        <v>283</v>
      </c>
      <c r="L63" t="s">
        <v>119</v>
      </c>
      <c r="M63" t="s">
        <v>65</v>
      </c>
      <c r="AJ63" t="s">
        <v>459</v>
      </c>
    </row>
    <row r="64" spans="8:36" x14ac:dyDescent="0.3">
      <c r="H64" t="s">
        <v>445</v>
      </c>
      <c r="I64" t="s">
        <v>459</v>
      </c>
      <c r="J64" t="s">
        <v>283</v>
      </c>
      <c r="L64" t="s">
        <v>120</v>
      </c>
      <c r="M64" t="s">
        <v>65</v>
      </c>
      <c r="AJ64" t="s">
        <v>524</v>
      </c>
    </row>
    <row r="65" spans="8:36" x14ac:dyDescent="0.3">
      <c r="H65" t="s">
        <v>475</v>
      </c>
      <c r="I65" t="s">
        <v>459</v>
      </c>
      <c r="J65" t="s">
        <v>283</v>
      </c>
      <c r="L65" t="s">
        <v>121</v>
      </c>
      <c r="M65" t="s">
        <v>65</v>
      </c>
      <c r="AJ65" t="s">
        <v>525</v>
      </c>
    </row>
    <row r="66" spans="8:36" x14ac:dyDescent="0.3">
      <c r="H66" t="s">
        <v>442</v>
      </c>
      <c r="I66" t="s">
        <v>459</v>
      </c>
      <c r="J66" t="s">
        <v>283</v>
      </c>
      <c r="L66" t="s">
        <v>124</v>
      </c>
      <c r="M66" t="s">
        <v>65</v>
      </c>
      <c r="AJ66" t="s">
        <v>526</v>
      </c>
    </row>
    <row r="67" spans="8:36" x14ac:dyDescent="0.3">
      <c r="H67" t="s">
        <v>466</v>
      </c>
      <c r="I67" t="s">
        <v>458</v>
      </c>
      <c r="J67" t="s">
        <v>283</v>
      </c>
      <c r="L67" t="s">
        <v>381</v>
      </c>
      <c r="M67" t="s">
        <v>83</v>
      </c>
      <c r="AJ67" t="s">
        <v>527</v>
      </c>
    </row>
    <row r="68" spans="8:36" x14ac:dyDescent="0.3">
      <c r="H68" t="s">
        <v>510</v>
      </c>
      <c r="I68" t="s">
        <v>205</v>
      </c>
      <c r="J68" t="s">
        <v>283</v>
      </c>
      <c r="L68" t="s">
        <v>122</v>
      </c>
      <c r="M68" t="s">
        <v>83</v>
      </c>
      <c r="AJ68" t="s">
        <v>528</v>
      </c>
    </row>
    <row r="69" spans="8:36" x14ac:dyDescent="0.3">
      <c r="H69" t="s">
        <v>457</v>
      </c>
      <c r="I69" t="s">
        <v>462</v>
      </c>
      <c r="J69" t="s">
        <v>283</v>
      </c>
      <c r="L69" t="s">
        <v>123</v>
      </c>
      <c r="M69" t="s">
        <v>83</v>
      </c>
      <c r="AJ69" t="s">
        <v>529</v>
      </c>
    </row>
    <row r="70" spans="8:36" x14ac:dyDescent="0.3">
      <c r="H70" t="s">
        <v>446</v>
      </c>
      <c r="I70" t="s">
        <v>205</v>
      </c>
      <c r="J70" t="s">
        <v>283</v>
      </c>
      <c r="L70" t="s">
        <v>149</v>
      </c>
      <c r="M70" t="s">
        <v>83</v>
      </c>
      <c r="AJ70" t="s">
        <v>530</v>
      </c>
    </row>
    <row r="71" spans="8:36" x14ac:dyDescent="0.3">
      <c r="H71" t="s">
        <v>516</v>
      </c>
      <c r="I71" t="s">
        <v>462</v>
      </c>
      <c r="J71" t="s">
        <v>283</v>
      </c>
      <c r="L71" t="s">
        <v>150</v>
      </c>
      <c r="M71" t="s">
        <v>83</v>
      </c>
      <c r="AJ71" t="s">
        <v>531</v>
      </c>
    </row>
    <row r="72" spans="8:36" x14ac:dyDescent="0.3">
      <c r="H72" t="s">
        <v>476</v>
      </c>
      <c r="I72" t="s">
        <v>213</v>
      </c>
      <c r="J72" t="s">
        <v>283</v>
      </c>
      <c r="L72" t="s">
        <v>57</v>
      </c>
      <c r="M72" t="s">
        <v>65</v>
      </c>
      <c r="N72" t="s">
        <v>523</v>
      </c>
      <c r="AJ72" t="s">
        <v>532</v>
      </c>
    </row>
    <row r="73" spans="8:36" x14ac:dyDescent="0.3">
      <c r="H73" t="s">
        <v>432</v>
      </c>
      <c r="I73" t="s">
        <v>459</v>
      </c>
      <c r="J73" t="s">
        <v>283</v>
      </c>
      <c r="L73" t="s">
        <v>136</v>
      </c>
      <c r="M73" t="s">
        <v>65</v>
      </c>
    </row>
    <row r="74" spans="8:36" x14ac:dyDescent="0.3">
      <c r="H74" t="s">
        <v>174</v>
      </c>
      <c r="I74" t="s">
        <v>206</v>
      </c>
      <c r="J74" t="s">
        <v>283</v>
      </c>
      <c r="L74" t="s">
        <v>145</v>
      </c>
      <c r="M74" t="s">
        <v>65</v>
      </c>
    </row>
    <row r="75" spans="8:36" x14ac:dyDescent="0.3">
      <c r="H75" t="s">
        <v>511</v>
      </c>
      <c r="I75" t="s">
        <v>206</v>
      </c>
      <c r="J75" t="s">
        <v>283</v>
      </c>
      <c r="L75" t="s">
        <v>490</v>
      </c>
      <c r="M75" t="s">
        <v>65</v>
      </c>
    </row>
    <row r="76" spans="8:36" x14ac:dyDescent="0.3">
      <c r="H76" t="s">
        <v>512</v>
      </c>
      <c r="I76" t="s">
        <v>206</v>
      </c>
      <c r="J76" t="s">
        <v>283</v>
      </c>
      <c r="L76" t="s">
        <v>503</v>
      </c>
      <c r="M76" t="s">
        <v>65</v>
      </c>
    </row>
    <row r="77" spans="8:36" x14ac:dyDescent="0.3">
      <c r="H77" t="s">
        <v>448</v>
      </c>
      <c r="I77" t="s">
        <v>459</v>
      </c>
      <c r="J77" t="s">
        <v>283</v>
      </c>
      <c r="L77" t="s">
        <v>497</v>
      </c>
      <c r="M77" t="s">
        <v>65</v>
      </c>
    </row>
    <row r="78" spans="8:36" x14ac:dyDescent="0.3">
      <c r="H78" t="s">
        <v>464</v>
      </c>
      <c r="I78" t="s">
        <v>462</v>
      </c>
      <c r="J78" t="s">
        <v>283</v>
      </c>
      <c r="L78" t="s">
        <v>498</v>
      </c>
      <c r="M78" t="s">
        <v>65</v>
      </c>
    </row>
    <row r="79" spans="8:36" x14ac:dyDescent="0.3">
      <c r="H79" t="s">
        <v>455</v>
      </c>
      <c r="I79" t="s">
        <v>213</v>
      </c>
      <c r="J79" t="s">
        <v>283</v>
      </c>
      <c r="L79" t="s">
        <v>499</v>
      </c>
      <c r="M79" t="s">
        <v>65</v>
      </c>
    </row>
    <row r="80" spans="8:36" x14ac:dyDescent="0.3">
      <c r="H80" t="s">
        <v>449</v>
      </c>
      <c r="I80" t="s">
        <v>205</v>
      </c>
      <c r="J80" t="s">
        <v>283</v>
      </c>
      <c r="L80" t="s">
        <v>500</v>
      </c>
      <c r="M80" t="s">
        <v>65</v>
      </c>
    </row>
    <row r="81" spans="8:13" x14ac:dyDescent="0.3">
      <c r="H81" t="s">
        <v>72</v>
      </c>
      <c r="I81" t="s">
        <v>206</v>
      </c>
      <c r="J81" t="s">
        <v>283</v>
      </c>
      <c r="L81" t="s">
        <v>501</v>
      </c>
      <c r="M81" t="s">
        <v>65</v>
      </c>
    </row>
    <row r="82" spans="8:13" x14ac:dyDescent="0.3">
      <c r="H82" t="s">
        <v>73</v>
      </c>
      <c r="I82" t="s">
        <v>205</v>
      </c>
      <c r="J82" t="s">
        <v>283</v>
      </c>
      <c r="L82" t="s">
        <v>502</v>
      </c>
      <c r="M82" t="s">
        <v>65</v>
      </c>
    </row>
    <row r="83" spans="8:13" x14ac:dyDescent="0.3">
      <c r="H83" t="s">
        <v>157</v>
      </c>
      <c r="I83" t="s">
        <v>205</v>
      </c>
      <c r="J83" t="s">
        <v>283</v>
      </c>
      <c r="L83" t="s">
        <v>412</v>
      </c>
      <c r="M83" t="s">
        <v>65</v>
      </c>
    </row>
    <row r="84" spans="8:13" x14ac:dyDescent="0.3">
      <c r="H84" t="s">
        <v>173</v>
      </c>
      <c r="I84" t="s">
        <v>206</v>
      </c>
      <c r="J84" t="s">
        <v>283</v>
      </c>
      <c r="L84" t="s">
        <v>128</v>
      </c>
      <c r="M84" t="s">
        <v>65</v>
      </c>
    </row>
    <row r="85" spans="8:13" x14ac:dyDescent="0.3">
      <c r="H85" t="s">
        <v>434</v>
      </c>
      <c r="I85" t="s">
        <v>206</v>
      </c>
      <c r="J85" t="s">
        <v>283</v>
      </c>
      <c r="L85" t="s">
        <v>127</v>
      </c>
      <c r="M85" t="s">
        <v>65</v>
      </c>
    </row>
    <row r="86" spans="8:13" x14ac:dyDescent="0.3">
      <c r="H86" t="s">
        <v>435</v>
      </c>
      <c r="I86" t="s">
        <v>459</v>
      </c>
      <c r="J86" t="s">
        <v>283</v>
      </c>
      <c r="L86" t="s">
        <v>130</v>
      </c>
      <c r="M86" t="s">
        <v>65</v>
      </c>
    </row>
    <row r="87" spans="8:13" x14ac:dyDescent="0.3">
      <c r="H87" t="s">
        <v>482</v>
      </c>
      <c r="I87" t="s">
        <v>205</v>
      </c>
      <c r="J87" t="s">
        <v>283</v>
      </c>
      <c r="L87" t="s">
        <v>129</v>
      </c>
      <c r="M87" t="s">
        <v>65</v>
      </c>
    </row>
    <row r="88" spans="8:13" x14ac:dyDescent="0.3">
      <c r="H88" t="s">
        <v>66</v>
      </c>
      <c r="I88" t="s">
        <v>459</v>
      </c>
      <c r="J88" t="s">
        <v>283</v>
      </c>
      <c r="L88" t="s">
        <v>153</v>
      </c>
      <c r="M88" t="s">
        <v>65</v>
      </c>
    </row>
    <row r="89" spans="8:13" x14ac:dyDescent="0.3">
      <c r="H89" t="s">
        <v>67</v>
      </c>
      <c r="I89" t="s">
        <v>206</v>
      </c>
      <c r="J89" t="s">
        <v>283</v>
      </c>
      <c r="L89" t="s">
        <v>152</v>
      </c>
      <c r="M89" t="s">
        <v>65</v>
      </c>
    </row>
    <row r="90" spans="8:13" x14ac:dyDescent="0.3">
      <c r="H90" t="s">
        <v>447</v>
      </c>
      <c r="I90" t="s">
        <v>205</v>
      </c>
      <c r="J90" t="s">
        <v>283</v>
      </c>
      <c r="L90" t="s">
        <v>147</v>
      </c>
      <c r="M90" t="s">
        <v>65</v>
      </c>
    </row>
    <row r="91" spans="8:13" x14ac:dyDescent="0.3">
      <c r="H91" t="s">
        <v>430</v>
      </c>
      <c r="I91" t="s">
        <v>205</v>
      </c>
      <c r="J91" t="s">
        <v>283</v>
      </c>
      <c r="L91" t="s">
        <v>146</v>
      </c>
      <c r="M91" t="s">
        <v>65</v>
      </c>
    </row>
    <row r="92" spans="8:13" x14ac:dyDescent="0.3">
      <c r="H92" t="s">
        <v>431</v>
      </c>
      <c r="I92" t="s">
        <v>205</v>
      </c>
      <c r="J92" t="s">
        <v>283</v>
      </c>
      <c r="L92" t="s">
        <v>505</v>
      </c>
      <c r="M92" t="s">
        <v>65</v>
      </c>
    </row>
    <row r="93" spans="8:13" x14ac:dyDescent="0.3">
      <c r="H93" t="s">
        <v>69</v>
      </c>
      <c r="I93" t="s">
        <v>206</v>
      </c>
      <c r="J93" t="s">
        <v>283</v>
      </c>
      <c r="L93" t="s">
        <v>137</v>
      </c>
      <c r="M93" t="s">
        <v>65</v>
      </c>
    </row>
    <row r="94" spans="8:13" x14ac:dyDescent="0.3">
      <c r="H94" t="s">
        <v>70</v>
      </c>
      <c r="I94" t="s">
        <v>206</v>
      </c>
      <c r="J94" t="s">
        <v>283</v>
      </c>
      <c r="L94" t="s">
        <v>423</v>
      </c>
      <c r="M94" t="s">
        <v>65</v>
      </c>
    </row>
    <row r="95" spans="8:13" x14ac:dyDescent="0.3">
      <c r="H95" t="s">
        <v>71</v>
      </c>
      <c r="I95" t="s">
        <v>206</v>
      </c>
      <c r="J95" t="s">
        <v>283</v>
      </c>
      <c r="L95" t="s">
        <v>424</v>
      </c>
      <c r="M95" t="s">
        <v>65</v>
      </c>
    </row>
    <row r="96" spans="8:13" x14ac:dyDescent="0.3">
      <c r="H96" t="s">
        <v>163</v>
      </c>
      <c r="I96" t="s">
        <v>205</v>
      </c>
      <c r="J96" t="s">
        <v>283</v>
      </c>
      <c r="L96" t="s">
        <v>425</v>
      </c>
      <c r="M96" t="s">
        <v>65</v>
      </c>
    </row>
    <row r="97" spans="8:13" x14ac:dyDescent="0.3">
      <c r="H97" t="s">
        <v>68</v>
      </c>
      <c r="I97" t="s">
        <v>205</v>
      </c>
      <c r="J97" t="s">
        <v>283</v>
      </c>
      <c r="L97" t="s">
        <v>426</v>
      </c>
      <c r="M97" t="s">
        <v>65</v>
      </c>
    </row>
    <row r="98" spans="8:13" x14ac:dyDescent="0.3">
      <c r="H98" t="s">
        <v>162</v>
      </c>
      <c r="I98" t="s">
        <v>205</v>
      </c>
      <c r="J98" t="s">
        <v>283</v>
      </c>
      <c r="L98" t="s">
        <v>151</v>
      </c>
      <c r="M98" t="s">
        <v>65</v>
      </c>
    </row>
    <row r="99" spans="8:13" x14ac:dyDescent="0.3">
      <c r="H99" t="s">
        <v>170</v>
      </c>
      <c r="I99" t="s">
        <v>205</v>
      </c>
      <c r="J99" t="s">
        <v>283</v>
      </c>
      <c r="L99" t="s">
        <v>395</v>
      </c>
      <c r="M99" t="s">
        <v>65</v>
      </c>
    </row>
    <row r="100" spans="8:13" x14ac:dyDescent="0.3">
      <c r="H100" t="s">
        <v>161</v>
      </c>
      <c r="I100" t="s">
        <v>205</v>
      </c>
      <c r="J100" t="s">
        <v>283</v>
      </c>
      <c r="L100" t="s">
        <v>394</v>
      </c>
      <c r="M100" t="s">
        <v>65</v>
      </c>
    </row>
    <row r="101" spans="8:13" x14ac:dyDescent="0.3">
      <c r="H101" t="s">
        <v>160</v>
      </c>
      <c r="I101" t="s">
        <v>205</v>
      </c>
      <c r="J101" t="s">
        <v>283</v>
      </c>
      <c r="L101" t="s">
        <v>409</v>
      </c>
      <c r="M101" t="s">
        <v>65</v>
      </c>
    </row>
    <row r="102" spans="8:13" x14ac:dyDescent="0.3">
      <c r="H102" t="s">
        <v>159</v>
      </c>
      <c r="I102" t="s">
        <v>206</v>
      </c>
      <c r="J102" t="s">
        <v>283</v>
      </c>
      <c r="L102" t="s">
        <v>408</v>
      </c>
      <c r="M102" t="s">
        <v>65</v>
      </c>
    </row>
    <row r="103" spans="8:13" x14ac:dyDescent="0.3">
      <c r="H103" t="s">
        <v>191</v>
      </c>
      <c r="I103" t="s">
        <v>205</v>
      </c>
      <c r="J103" t="s">
        <v>283</v>
      </c>
      <c r="L103" t="s">
        <v>410</v>
      </c>
      <c r="M103" t="s">
        <v>65</v>
      </c>
    </row>
    <row r="104" spans="8:13" x14ac:dyDescent="0.3">
      <c r="H104" t="s">
        <v>192</v>
      </c>
      <c r="I104" t="s">
        <v>205</v>
      </c>
      <c r="J104" t="s">
        <v>283</v>
      </c>
      <c r="L104" t="s">
        <v>494</v>
      </c>
      <c r="M104" t="s">
        <v>65</v>
      </c>
    </row>
    <row r="105" spans="8:13" x14ac:dyDescent="0.3">
      <c r="H105" t="s">
        <v>437</v>
      </c>
      <c r="I105" t="s">
        <v>205</v>
      </c>
      <c r="J105" t="s">
        <v>283</v>
      </c>
      <c r="L105" t="s">
        <v>493</v>
      </c>
      <c r="M105" t="s">
        <v>65</v>
      </c>
    </row>
    <row r="106" spans="8:13" x14ac:dyDescent="0.3">
      <c r="H106" t="s">
        <v>438</v>
      </c>
      <c r="I106" t="s">
        <v>205</v>
      </c>
      <c r="J106" t="s">
        <v>283</v>
      </c>
      <c r="L106" t="s">
        <v>496</v>
      </c>
      <c r="M106" t="s">
        <v>65</v>
      </c>
    </row>
    <row r="107" spans="8:13" x14ac:dyDescent="0.3">
      <c r="H107" t="s">
        <v>74</v>
      </c>
      <c r="I107" t="s">
        <v>206</v>
      </c>
      <c r="J107" t="s">
        <v>283</v>
      </c>
      <c r="L107" t="s">
        <v>495</v>
      </c>
      <c r="M107" t="s">
        <v>65</v>
      </c>
    </row>
    <row r="108" spans="8:13" x14ac:dyDescent="0.3">
      <c r="H108" t="s">
        <v>75</v>
      </c>
      <c r="I108" t="s">
        <v>205</v>
      </c>
      <c r="J108" t="s">
        <v>283</v>
      </c>
      <c r="L108" t="s">
        <v>387</v>
      </c>
      <c r="M108" t="s">
        <v>65</v>
      </c>
    </row>
    <row r="109" spans="8:13" x14ac:dyDescent="0.3">
      <c r="H109" t="s">
        <v>156</v>
      </c>
      <c r="I109" t="s">
        <v>205</v>
      </c>
      <c r="J109" t="s">
        <v>283</v>
      </c>
      <c r="L109" t="s">
        <v>386</v>
      </c>
      <c r="M109" t="s">
        <v>65</v>
      </c>
    </row>
    <row r="110" spans="8:13" x14ac:dyDescent="0.3">
      <c r="H110" t="s">
        <v>436</v>
      </c>
      <c r="I110" t="s">
        <v>206</v>
      </c>
      <c r="J110" t="s">
        <v>283</v>
      </c>
      <c r="L110" t="s">
        <v>389</v>
      </c>
      <c r="M110" t="s">
        <v>65</v>
      </c>
    </row>
    <row r="111" spans="8:13" x14ac:dyDescent="0.3">
      <c r="H111" t="s">
        <v>513</v>
      </c>
      <c r="I111" t="s">
        <v>212</v>
      </c>
      <c r="J111" t="s">
        <v>283</v>
      </c>
      <c r="L111" t="s">
        <v>388</v>
      </c>
      <c r="M111" t="s">
        <v>65</v>
      </c>
    </row>
    <row r="112" spans="8:13" x14ac:dyDescent="0.3">
      <c r="H112" t="s">
        <v>519</v>
      </c>
      <c r="I112" t="s">
        <v>212</v>
      </c>
      <c r="J112" t="s">
        <v>283</v>
      </c>
      <c r="L112" t="s">
        <v>355</v>
      </c>
      <c r="M112" t="s">
        <v>65</v>
      </c>
    </row>
    <row r="113" spans="8:13" x14ac:dyDescent="0.3">
      <c r="H113" t="s">
        <v>461</v>
      </c>
      <c r="I113" t="s">
        <v>459</v>
      </c>
      <c r="J113" t="s">
        <v>283</v>
      </c>
      <c r="L113" t="s">
        <v>492</v>
      </c>
      <c r="M113" t="s">
        <v>65</v>
      </c>
    </row>
    <row r="114" spans="8:13" x14ac:dyDescent="0.3">
      <c r="H114" t="s">
        <v>433</v>
      </c>
      <c r="I114" t="s">
        <v>458</v>
      </c>
      <c r="J114" t="s">
        <v>283</v>
      </c>
      <c r="L114" t="s">
        <v>58</v>
      </c>
      <c r="M114" t="s">
        <v>65</v>
      </c>
    </row>
    <row r="115" spans="8:13" x14ac:dyDescent="0.3">
      <c r="L115" t="s">
        <v>133</v>
      </c>
      <c r="M115" t="s">
        <v>65</v>
      </c>
    </row>
    <row r="116" spans="8:13" x14ac:dyDescent="0.3">
      <c r="L116" t="s">
        <v>116</v>
      </c>
      <c r="M116" t="s">
        <v>65</v>
      </c>
    </row>
    <row r="117" spans="8:13" x14ac:dyDescent="0.3">
      <c r="L117" t="s">
        <v>144</v>
      </c>
      <c r="M117" t="s">
        <v>65</v>
      </c>
    </row>
    <row r="118" spans="8:13" x14ac:dyDescent="0.3">
      <c r="L118" t="s">
        <v>491</v>
      </c>
      <c r="M118" t="s">
        <v>65</v>
      </c>
    </row>
    <row r="119" spans="8:13" x14ac:dyDescent="0.3">
      <c r="L119" t="s">
        <v>504</v>
      </c>
      <c r="M119" t="s">
        <v>65</v>
      </c>
    </row>
    <row r="120" spans="8:13" x14ac:dyDescent="0.3">
      <c r="L120" t="s">
        <v>428</v>
      </c>
      <c r="M120" t="s">
        <v>65</v>
      </c>
    </row>
    <row r="121" spans="8:13" x14ac:dyDescent="0.3">
      <c r="L121" t="s">
        <v>372</v>
      </c>
      <c r="M121" t="s">
        <v>65</v>
      </c>
    </row>
    <row r="122" spans="8:13" x14ac:dyDescent="0.3">
      <c r="L122" t="s">
        <v>411</v>
      </c>
      <c r="M122" t="s">
        <v>65</v>
      </c>
    </row>
    <row r="123" spans="8:13" x14ac:dyDescent="0.3">
      <c r="L123" t="s">
        <v>398</v>
      </c>
      <c r="M123" t="s">
        <v>65</v>
      </c>
    </row>
    <row r="124" spans="8:13" x14ac:dyDescent="0.3">
      <c r="L124" t="s">
        <v>61</v>
      </c>
      <c r="M124" t="s">
        <v>65</v>
      </c>
    </row>
    <row r="125" spans="8:13" x14ac:dyDescent="0.3">
      <c r="L125" t="s">
        <v>62</v>
      </c>
      <c r="M125" t="s">
        <v>65</v>
      </c>
    </row>
    <row r="126" spans="8:13" x14ac:dyDescent="0.3">
      <c r="L126" t="s">
        <v>139</v>
      </c>
      <c r="M126" t="s">
        <v>65</v>
      </c>
    </row>
    <row r="127" spans="8:13" x14ac:dyDescent="0.3">
      <c r="L127" t="s">
        <v>148</v>
      </c>
      <c r="M127" t="s">
        <v>65</v>
      </c>
    </row>
    <row r="128" spans="8:13" x14ac:dyDescent="0.3">
      <c r="L128" t="s">
        <v>392</v>
      </c>
      <c r="M128" t="s">
        <v>65</v>
      </c>
    </row>
    <row r="129" spans="12:13" x14ac:dyDescent="0.3">
      <c r="L129" t="s">
        <v>393</v>
      </c>
      <c r="M129" t="s">
        <v>65</v>
      </c>
    </row>
    <row r="130" spans="12:13" x14ac:dyDescent="0.3">
      <c r="L130" t="s">
        <v>404</v>
      </c>
      <c r="M130" t="s">
        <v>65</v>
      </c>
    </row>
    <row r="131" spans="12:13" x14ac:dyDescent="0.3">
      <c r="L131" t="s">
        <v>356</v>
      </c>
      <c r="M131" t="s">
        <v>65</v>
      </c>
    </row>
    <row r="132" spans="12:13" x14ac:dyDescent="0.3">
      <c r="L132" t="s">
        <v>365</v>
      </c>
      <c r="M132" t="s">
        <v>65</v>
      </c>
    </row>
    <row r="133" spans="12:13" x14ac:dyDescent="0.3">
      <c r="L133" t="s">
        <v>59</v>
      </c>
      <c r="M133" t="s">
        <v>65</v>
      </c>
    </row>
    <row r="134" spans="12:13" x14ac:dyDescent="0.3">
      <c r="L134" t="s">
        <v>367</v>
      </c>
      <c r="M134" t="s">
        <v>65</v>
      </c>
    </row>
    <row r="135" spans="12:13" x14ac:dyDescent="0.3">
      <c r="L135" t="s">
        <v>366</v>
      </c>
      <c r="M135" t="s">
        <v>65</v>
      </c>
    </row>
    <row r="136" spans="12:13" x14ac:dyDescent="0.3">
      <c r="L136" t="s">
        <v>405</v>
      </c>
      <c r="M136" t="s">
        <v>65</v>
      </c>
    </row>
    <row r="137" spans="12:13" x14ac:dyDescent="0.3">
      <c r="L137" t="s">
        <v>406</v>
      </c>
      <c r="M137" t="s">
        <v>65</v>
      </c>
    </row>
    <row r="138" spans="12:13" x14ac:dyDescent="0.3">
      <c r="L138" t="s">
        <v>407</v>
      </c>
      <c r="M138" t="s">
        <v>65</v>
      </c>
    </row>
    <row r="139" spans="12:13" x14ac:dyDescent="0.3">
      <c r="L139" t="s">
        <v>125</v>
      </c>
      <c r="M139" t="s">
        <v>65</v>
      </c>
    </row>
    <row r="140" spans="12:13" x14ac:dyDescent="0.3">
      <c r="L140" t="s">
        <v>60</v>
      </c>
      <c r="M140" t="s">
        <v>65</v>
      </c>
    </row>
    <row r="141" spans="12:13" x14ac:dyDescent="0.3">
      <c r="L141" t="s">
        <v>126</v>
      </c>
      <c r="M141" t="s">
        <v>65</v>
      </c>
    </row>
    <row r="142" spans="12:13" x14ac:dyDescent="0.3">
      <c r="L142" t="s">
        <v>138</v>
      </c>
      <c r="M142" t="s">
        <v>65</v>
      </c>
    </row>
    <row r="143" spans="12:13" x14ac:dyDescent="0.3">
      <c r="L143" t="s">
        <v>142</v>
      </c>
      <c r="M143" t="s">
        <v>83</v>
      </c>
    </row>
    <row r="144" spans="12:13" x14ac:dyDescent="0.3">
      <c r="L144" t="s">
        <v>373</v>
      </c>
      <c r="M144" t="s">
        <v>65</v>
      </c>
    </row>
    <row r="145" spans="12:13" x14ac:dyDescent="0.3">
      <c r="L145" t="s">
        <v>368</v>
      </c>
      <c r="M145" t="s">
        <v>65</v>
      </c>
    </row>
    <row r="146" spans="12:13" x14ac:dyDescent="0.3">
      <c r="L146" t="s">
        <v>134</v>
      </c>
      <c r="M146" t="s">
        <v>65</v>
      </c>
    </row>
    <row r="147" spans="12:13" x14ac:dyDescent="0.3">
      <c r="L147" t="s">
        <v>370</v>
      </c>
      <c r="M147" t="s">
        <v>65</v>
      </c>
    </row>
    <row r="148" spans="12:13" x14ac:dyDescent="0.3">
      <c r="L148" t="s">
        <v>369</v>
      </c>
      <c r="M148" t="s">
        <v>65</v>
      </c>
    </row>
    <row r="149" spans="12:13" x14ac:dyDescent="0.3">
      <c r="L149" t="s">
        <v>140</v>
      </c>
      <c r="M149" t="s">
        <v>65</v>
      </c>
    </row>
    <row r="150" spans="12:13" x14ac:dyDescent="0.3">
      <c r="L150" t="s">
        <v>141</v>
      </c>
      <c r="M150" t="s">
        <v>65</v>
      </c>
    </row>
    <row r="151" spans="12:13" x14ac:dyDescent="0.3">
      <c r="L151" t="s">
        <v>390</v>
      </c>
      <c r="M151" t="s">
        <v>65</v>
      </c>
    </row>
    <row r="152" spans="12:13" x14ac:dyDescent="0.3">
      <c r="L152" t="s">
        <v>391</v>
      </c>
      <c r="M152" t="s">
        <v>65</v>
      </c>
    </row>
    <row r="153" spans="12:13" x14ac:dyDescent="0.3">
      <c r="L153" t="s">
        <v>63</v>
      </c>
      <c r="M153" t="s">
        <v>65</v>
      </c>
    </row>
    <row r="154" spans="12:13" x14ac:dyDescent="0.3">
      <c r="L154" t="s">
        <v>64</v>
      </c>
      <c r="M154" t="s">
        <v>65</v>
      </c>
    </row>
    <row r="155" spans="12:13" x14ac:dyDescent="0.3">
      <c r="L155" t="s">
        <v>131</v>
      </c>
      <c r="M155" t="s">
        <v>65</v>
      </c>
    </row>
    <row r="156" spans="12:13" x14ac:dyDescent="0.3">
      <c r="L156" t="s">
        <v>385</v>
      </c>
      <c r="M156" t="s">
        <v>65</v>
      </c>
    </row>
    <row r="157" spans="12:13" x14ac:dyDescent="0.3">
      <c r="L157" t="s">
        <v>429</v>
      </c>
      <c r="M157" t="s">
        <v>65</v>
      </c>
    </row>
    <row r="158" spans="12:13" x14ac:dyDescent="0.3">
      <c r="L158" t="s">
        <v>56</v>
      </c>
      <c r="M158" t="s">
        <v>65</v>
      </c>
    </row>
  </sheetData>
  <phoneticPr fontId="1" type="noConversion"/>
  <dataValidations count="3">
    <dataValidation type="list" allowBlank="1" showInputMessage="1" showErrorMessage="1" sqref="M18:M158" xr:uid="{AAB57854-EE21-4648-A1CB-0F7D2F2AF990}">
      <formula1>$AJ$41:$AJ$43</formula1>
    </dataValidation>
    <dataValidation type="list" allowBlank="1" showInputMessage="1" showErrorMessage="1" sqref="S19:S32 I19:I114" xr:uid="{FB123359-30B9-419B-AE41-551AB7BB7CAB}">
      <formula1>$AJ$53:$AJ$67</formula1>
    </dataValidation>
    <dataValidation type="list" allowBlank="1" showInputMessage="1" showErrorMessage="1" sqref="R19:R32" xr:uid="{FCBABE9C-10FE-40A4-8AA4-1BAED7C63E26}">
      <formula1>$AJ$47:$AJ$49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B57"/>
  <sheetViews>
    <sheetView tabSelected="1" topLeftCell="G1" zoomScale="66" zoomScaleNormal="66" workbookViewId="0">
      <selection activeCell="K27" sqref="K27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3.77734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54" x14ac:dyDescent="0.3">
      <c r="A2" s="1" t="s">
        <v>306</v>
      </c>
      <c r="C2" s="4" t="s">
        <v>305</v>
      </c>
    </row>
    <row r="5" spans="1:54" x14ac:dyDescent="0.3">
      <c r="A5" t="s">
        <v>50</v>
      </c>
      <c r="E5" t="s">
        <v>49</v>
      </c>
      <c r="J5" t="s">
        <v>51</v>
      </c>
      <c r="L5" t="s">
        <v>196</v>
      </c>
      <c r="P5" t="s">
        <v>53</v>
      </c>
      <c r="R5" t="s">
        <v>196</v>
      </c>
      <c r="V5" t="s">
        <v>52</v>
      </c>
      <c r="AX5" t="s">
        <v>84</v>
      </c>
      <c r="BB5" t="s">
        <v>47</v>
      </c>
    </row>
    <row r="6" spans="1:54" x14ac:dyDescent="0.3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331</v>
      </c>
      <c r="W6" t="s">
        <v>21</v>
      </c>
      <c r="X6" t="s">
        <v>22</v>
      </c>
      <c r="Y6" t="s">
        <v>45</v>
      </c>
      <c r="AA6" t="s">
        <v>35</v>
      </c>
      <c r="AX6" t="s">
        <v>23</v>
      </c>
      <c r="AZ6" t="s">
        <v>86</v>
      </c>
      <c r="BB6" t="s">
        <v>87</v>
      </c>
    </row>
    <row r="7" spans="1:54" x14ac:dyDescent="0.3">
      <c r="A7" t="s">
        <v>179</v>
      </c>
      <c r="B7" t="s">
        <v>25</v>
      </c>
      <c r="E7" t="s">
        <v>13</v>
      </c>
      <c r="F7" t="s">
        <v>26</v>
      </c>
      <c r="G7" t="s">
        <v>182</v>
      </c>
      <c r="H7" t="s">
        <v>92</v>
      </c>
      <c r="J7" t="s">
        <v>9</v>
      </c>
      <c r="K7" t="s">
        <v>28</v>
      </c>
      <c r="L7" t="s">
        <v>551</v>
      </c>
      <c r="M7" t="s">
        <v>545</v>
      </c>
      <c r="N7" t="s">
        <v>43</v>
      </c>
      <c r="P7" t="s">
        <v>13</v>
      </c>
      <c r="Q7" t="s">
        <v>29</v>
      </c>
      <c r="R7" t="s">
        <v>340</v>
      </c>
      <c r="S7" t="s">
        <v>5</v>
      </c>
      <c r="T7" t="s">
        <v>43</v>
      </c>
      <c r="U7" t="s">
        <v>334</v>
      </c>
      <c r="W7" t="s">
        <v>11</v>
      </c>
      <c r="X7" t="s">
        <v>36</v>
      </c>
      <c r="Y7" t="s">
        <v>132</v>
      </c>
      <c r="AA7" t="s">
        <v>21</v>
      </c>
      <c r="AB7" t="s">
        <v>22</v>
      </c>
      <c r="AX7" t="s">
        <v>24</v>
      </c>
      <c r="AZ7" t="s">
        <v>43</v>
      </c>
      <c r="BB7" t="s">
        <v>88</v>
      </c>
    </row>
    <row r="8" spans="1:54" x14ac:dyDescent="0.3">
      <c r="A8" t="s">
        <v>179</v>
      </c>
      <c r="B8" t="s">
        <v>26</v>
      </c>
      <c r="E8" t="s">
        <v>13</v>
      </c>
      <c r="F8" t="s">
        <v>27</v>
      </c>
      <c r="G8" t="s">
        <v>182</v>
      </c>
      <c r="H8" t="s">
        <v>96</v>
      </c>
      <c r="J8" t="s">
        <v>10</v>
      </c>
      <c r="K8" t="s">
        <v>33</v>
      </c>
      <c r="L8" t="s">
        <v>551</v>
      </c>
      <c r="M8" t="s">
        <v>545</v>
      </c>
      <c r="N8" t="s">
        <v>85</v>
      </c>
      <c r="P8" t="s">
        <v>13</v>
      </c>
      <c r="Q8" t="s">
        <v>30</v>
      </c>
      <c r="R8" t="s">
        <v>341</v>
      </c>
      <c r="S8" t="s">
        <v>6</v>
      </c>
      <c r="T8" t="s">
        <v>43</v>
      </c>
      <c r="U8" t="s">
        <v>334</v>
      </c>
      <c r="W8" t="s">
        <v>12</v>
      </c>
      <c r="X8" t="s">
        <v>24</v>
      </c>
      <c r="Y8" t="s">
        <v>118</v>
      </c>
      <c r="AA8" t="s">
        <v>180</v>
      </c>
      <c r="AB8" t="s">
        <v>24</v>
      </c>
      <c r="AX8" t="s">
        <v>25</v>
      </c>
      <c r="AZ8" t="s">
        <v>44</v>
      </c>
      <c r="BB8" t="s">
        <v>89</v>
      </c>
    </row>
    <row r="9" spans="1:54" x14ac:dyDescent="0.3">
      <c r="A9" t="s">
        <v>179</v>
      </c>
      <c r="B9" t="s">
        <v>27</v>
      </c>
      <c r="E9" t="s">
        <v>13</v>
      </c>
      <c r="F9" t="s">
        <v>28</v>
      </c>
      <c r="G9" t="s">
        <v>182</v>
      </c>
      <c r="H9" t="s">
        <v>91</v>
      </c>
      <c r="J9" t="s">
        <v>10</v>
      </c>
      <c r="K9" t="s">
        <v>34</v>
      </c>
      <c r="L9" t="s">
        <v>551</v>
      </c>
      <c r="M9" t="s">
        <v>545</v>
      </c>
      <c r="N9" t="s">
        <v>48</v>
      </c>
      <c r="P9" t="s">
        <v>13</v>
      </c>
      <c r="Q9" t="s">
        <v>31</v>
      </c>
      <c r="R9" t="s">
        <v>555</v>
      </c>
      <c r="S9" t="s">
        <v>535</v>
      </c>
      <c r="T9" t="s">
        <v>43</v>
      </c>
      <c r="U9" t="s">
        <v>334</v>
      </c>
      <c r="W9" t="s">
        <v>12</v>
      </c>
      <c r="X9" t="s">
        <v>25</v>
      </c>
      <c r="Y9" t="s">
        <v>119</v>
      </c>
      <c r="AA9" t="s">
        <v>179</v>
      </c>
      <c r="AB9" t="s">
        <v>30</v>
      </c>
      <c r="AX9" t="s">
        <v>26</v>
      </c>
      <c r="AZ9" t="s">
        <v>85</v>
      </c>
      <c r="BB9" t="s">
        <v>90</v>
      </c>
    </row>
    <row r="10" spans="1:54" x14ac:dyDescent="0.3">
      <c r="A10" t="s">
        <v>11</v>
      </c>
      <c r="B10" t="s">
        <v>37</v>
      </c>
      <c r="E10" t="s">
        <v>13</v>
      </c>
      <c r="F10" t="s">
        <v>33</v>
      </c>
      <c r="G10" t="s">
        <v>182</v>
      </c>
      <c r="H10" t="s">
        <v>93</v>
      </c>
      <c r="J10" t="s">
        <v>12</v>
      </c>
      <c r="K10" t="s">
        <v>36</v>
      </c>
      <c r="L10" t="s">
        <v>304</v>
      </c>
      <c r="M10" t="s">
        <v>176</v>
      </c>
      <c r="N10" t="s">
        <v>43</v>
      </c>
      <c r="P10" t="s">
        <v>13</v>
      </c>
      <c r="Q10" t="s">
        <v>32</v>
      </c>
      <c r="R10" t="s">
        <v>556</v>
      </c>
      <c r="S10" t="s">
        <v>534</v>
      </c>
      <c r="T10" t="s">
        <v>43</v>
      </c>
      <c r="U10" t="s">
        <v>334</v>
      </c>
      <c r="W10" t="s">
        <v>12</v>
      </c>
      <c r="X10" t="s">
        <v>26</v>
      </c>
      <c r="Y10" t="s">
        <v>120</v>
      </c>
      <c r="AA10" t="s">
        <v>179</v>
      </c>
      <c r="AB10" t="s">
        <v>31</v>
      </c>
      <c r="AX10" t="s">
        <v>27</v>
      </c>
      <c r="AZ10" t="s">
        <v>48</v>
      </c>
      <c r="BB10" t="s">
        <v>91</v>
      </c>
    </row>
    <row r="11" spans="1:54" x14ac:dyDescent="0.3">
      <c r="A11" t="s">
        <v>11</v>
      </c>
      <c r="B11" t="s">
        <v>38</v>
      </c>
      <c r="E11" t="s">
        <v>11</v>
      </c>
      <c r="F11" t="s">
        <v>25</v>
      </c>
      <c r="G11" t="s">
        <v>182</v>
      </c>
      <c r="H11" t="s">
        <v>87</v>
      </c>
      <c r="J11" t="s">
        <v>12</v>
      </c>
      <c r="K11" t="s">
        <v>37</v>
      </c>
      <c r="L11" t="s">
        <v>304</v>
      </c>
      <c r="M11" t="s">
        <v>176</v>
      </c>
      <c r="N11" t="s">
        <v>44</v>
      </c>
      <c r="P11" t="s">
        <v>9</v>
      </c>
      <c r="Q11" t="s">
        <v>29</v>
      </c>
      <c r="R11" t="s">
        <v>553</v>
      </c>
      <c r="S11" t="s">
        <v>546</v>
      </c>
      <c r="T11" t="s">
        <v>43</v>
      </c>
      <c r="U11" t="s">
        <v>334</v>
      </c>
      <c r="W11" t="s">
        <v>12</v>
      </c>
      <c r="X11" t="s">
        <v>27</v>
      </c>
      <c r="Y11" t="s">
        <v>121</v>
      </c>
      <c r="AA11" t="s">
        <v>12</v>
      </c>
      <c r="AB11" t="s">
        <v>34</v>
      </c>
      <c r="AX11" t="s">
        <v>28</v>
      </c>
      <c r="BB11" t="s">
        <v>92</v>
      </c>
    </row>
    <row r="12" spans="1:54" x14ac:dyDescent="0.3">
      <c r="A12" t="s">
        <v>11</v>
      </c>
      <c r="B12" t="s">
        <v>39</v>
      </c>
      <c r="E12" t="s">
        <v>11</v>
      </c>
      <c r="F12" t="s">
        <v>26</v>
      </c>
      <c r="G12" t="s">
        <v>182</v>
      </c>
      <c r="H12" t="s">
        <v>88</v>
      </c>
      <c r="J12" t="s">
        <v>10</v>
      </c>
      <c r="K12" t="s">
        <v>31</v>
      </c>
      <c r="L12" t="s">
        <v>304</v>
      </c>
      <c r="M12" t="s">
        <v>176</v>
      </c>
      <c r="N12" t="s">
        <v>85</v>
      </c>
      <c r="P12" t="s">
        <v>9</v>
      </c>
      <c r="Q12" t="s">
        <v>30</v>
      </c>
      <c r="R12" t="s">
        <v>553</v>
      </c>
      <c r="S12" t="s">
        <v>546</v>
      </c>
      <c r="T12" t="s">
        <v>44</v>
      </c>
      <c r="U12" t="s">
        <v>334</v>
      </c>
      <c r="W12" t="s">
        <v>12</v>
      </c>
      <c r="X12" t="s">
        <v>28</v>
      </c>
      <c r="Y12" t="s">
        <v>124</v>
      </c>
      <c r="AA12" t="s">
        <v>12</v>
      </c>
      <c r="AB12" t="s">
        <v>38</v>
      </c>
      <c r="AX12" t="s">
        <v>29</v>
      </c>
      <c r="BB12" t="s">
        <v>93</v>
      </c>
    </row>
    <row r="13" spans="1:54" x14ac:dyDescent="0.3">
      <c r="A13" t="s">
        <v>13</v>
      </c>
      <c r="B13" t="s">
        <v>23</v>
      </c>
      <c r="E13" t="s">
        <v>11</v>
      </c>
      <c r="F13" t="s">
        <v>23</v>
      </c>
      <c r="G13" t="s">
        <v>182</v>
      </c>
      <c r="H13" t="s">
        <v>97</v>
      </c>
      <c r="J13" t="s">
        <v>10</v>
      </c>
      <c r="K13" t="s">
        <v>32</v>
      </c>
      <c r="L13" t="s">
        <v>304</v>
      </c>
      <c r="M13" t="s">
        <v>176</v>
      </c>
      <c r="N13" t="s">
        <v>48</v>
      </c>
      <c r="P13" t="s">
        <v>9</v>
      </c>
      <c r="Q13" t="s">
        <v>23</v>
      </c>
      <c r="R13" t="s">
        <v>552</v>
      </c>
      <c r="S13" t="s">
        <v>178</v>
      </c>
      <c r="T13" t="s">
        <v>43</v>
      </c>
      <c r="U13" t="s">
        <v>334</v>
      </c>
      <c r="AA13" t="s">
        <v>12</v>
      </c>
      <c r="AB13" t="s">
        <v>39</v>
      </c>
      <c r="AX13" t="s">
        <v>30</v>
      </c>
      <c r="BB13" t="s">
        <v>94</v>
      </c>
    </row>
    <row r="14" spans="1:54" x14ac:dyDescent="0.3">
      <c r="A14" t="s">
        <v>13</v>
      </c>
      <c r="B14" t="s">
        <v>24</v>
      </c>
      <c r="E14" t="s">
        <v>11</v>
      </c>
      <c r="F14" t="s">
        <v>24</v>
      </c>
      <c r="G14" t="s">
        <v>182</v>
      </c>
      <c r="H14" t="s">
        <v>98</v>
      </c>
      <c r="J14" t="s">
        <v>9</v>
      </c>
      <c r="K14" t="s">
        <v>24</v>
      </c>
      <c r="L14" t="s">
        <v>551</v>
      </c>
      <c r="M14" t="s">
        <v>545</v>
      </c>
      <c r="N14" t="s">
        <v>44</v>
      </c>
      <c r="P14" t="s">
        <v>179</v>
      </c>
      <c r="Q14" t="s">
        <v>32</v>
      </c>
      <c r="R14" t="s">
        <v>557</v>
      </c>
      <c r="S14" t="s">
        <v>3</v>
      </c>
      <c r="T14" t="s">
        <v>43</v>
      </c>
      <c r="U14" t="s">
        <v>335</v>
      </c>
      <c r="AA14" t="s">
        <v>180</v>
      </c>
      <c r="AB14" t="s">
        <v>25</v>
      </c>
      <c r="AX14" t="s">
        <v>31</v>
      </c>
      <c r="BB14" t="s">
        <v>95</v>
      </c>
    </row>
    <row r="15" spans="1:54" x14ac:dyDescent="0.3">
      <c r="A15" t="s">
        <v>13</v>
      </c>
      <c r="B15" t="s">
        <v>25</v>
      </c>
      <c r="E15" t="s">
        <v>9</v>
      </c>
      <c r="F15" t="s">
        <v>27</v>
      </c>
      <c r="G15" t="s">
        <v>14</v>
      </c>
      <c r="H15" t="s">
        <v>342</v>
      </c>
      <c r="P15" s="12" t="s">
        <v>179</v>
      </c>
      <c r="Q15" s="6" t="s">
        <v>38</v>
      </c>
      <c r="R15" t="s">
        <v>557</v>
      </c>
      <c r="S15" s="6" t="s">
        <v>3</v>
      </c>
      <c r="T15" s="6" t="s">
        <v>48</v>
      </c>
      <c r="U15" s="11" t="s">
        <v>335</v>
      </c>
      <c r="AA15" t="s">
        <v>180</v>
      </c>
      <c r="AB15" t="s">
        <v>26</v>
      </c>
      <c r="AX15" t="s">
        <v>32</v>
      </c>
      <c r="BB15" t="s">
        <v>96</v>
      </c>
    </row>
    <row r="16" spans="1:54" x14ac:dyDescent="0.3">
      <c r="A16" t="s">
        <v>10</v>
      </c>
      <c r="B16" t="s">
        <v>25</v>
      </c>
      <c r="E16" t="s">
        <v>11</v>
      </c>
      <c r="F16" t="s">
        <v>27</v>
      </c>
      <c r="G16" t="s">
        <v>14</v>
      </c>
      <c r="H16" t="s">
        <v>91</v>
      </c>
      <c r="P16" s="12" t="s">
        <v>11</v>
      </c>
      <c r="Q16" s="6" t="s">
        <v>32</v>
      </c>
      <c r="R16" s="6" t="s">
        <v>554</v>
      </c>
      <c r="S16" s="6" t="s">
        <v>177</v>
      </c>
      <c r="T16" s="6" t="s">
        <v>48</v>
      </c>
      <c r="U16" s="11" t="s">
        <v>335</v>
      </c>
      <c r="AA16" t="s">
        <v>180</v>
      </c>
      <c r="AB16" t="s">
        <v>27</v>
      </c>
      <c r="AX16" t="s">
        <v>33</v>
      </c>
      <c r="BB16" t="s">
        <v>97</v>
      </c>
    </row>
    <row r="17" spans="1:54" x14ac:dyDescent="0.3">
      <c r="A17" t="s">
        <v>13</v>
      </c>
      <c r="B17" t="s">
        <v>37</v>
      </c>
      <c r="E17" t="s">
        <v>11</v>
      </c>
      <c r="F17" t="s">
        <v>28</v>
      </c>
      <c r="G17" t="s">
        <v>14</v>
      </c>
      <c r="H17" t="s">
        <v>95</v>
      </c>
      <c r="P17" s="14" t="s">
        <v>180</v>
      </c>
      <c r="Q17" s="7" t="s">
        <v>29</v>
      </c>
      <c r="R17" t="s">
        <v>558</v>
      </c>
      <c r="S17" s="7" t="s">
        <v>339</v>
      </c>
      <c r="T17" s="7" t="s">
        <v>43</v>
      </c>
      <c r="U17" s="13" t="s">
        <v>332</v>
      </c>
      <c r="AA17" t="s">
        <v>180</v>
      </c>
      <c r="AB17" t="s">
        <v>28</v>
      </c>
      <c r="AX17" t="s">
        <v>34</v>
      </c>
      <c r="BB17" t="s">
        <v>98</v>
      </c>
    </row>
    <row r="18" spans="1:54" x14ac:dyDescent="0.3">
      <c r="A18" t="s">
        <v>13</v>
      </c>
      <c r="B18" t="s">
        <v>38</v>
      </c>
      <c r="E18" t="s">
        <v>10</v>
      </c>
      <c r="F18" t="s">
        <v>23</v>
      </c>
      <c r="G18" t="s">
        <v>14</v>
      </c>
      <c r="H18" t="s">
        <v>96</v>
      </c>
      <c r="P18" s="12" t="s">
        <v>180</v>
      </c>
      <c r="Q18" s="6" t="s">
        <v>30</v>
      </c>
      <c r="R18" t="s">
        <v>558</v>
      </c>
      <c r="S18" s="6" t="s">
        <v>339</v>
      </c>
      <c r="T18" s="6" t="s">
        <v>44</v>
      </c>
      <c r="U18" s="11" t="s">
        <v>332</v>
      </c>
      <c r="AA18" t="s">
        <v>11</v>
      </c>
      <c r="AB18" t="s">
        <v>33</v>
      </c>
      <c r="AX18" t="s">
        <v>36</v>
      </c>
      <c r="BB18" t="s">
        <v>99</v>
      </c>
    </row>
    <row r="19" spans="1:54" x14ac:dyDescent="0.3">
      <c r="A19" t="s">
        <v>13</v>
      </c>
      <c r="B19" t="s">
        <v>39</v>
      </c>
      <c r="E19" t="s">
        <v>10</v>
      </c>
      <c r="F19" t="s">
        <v>24</v>
      </c>
      <c r="G19" t="s">
        <v>14</v>
      </c>
      <c r="H19" t="s">
        <v>92</v>
      </c>
      <c r="P19" s="14" t="s">
        <v>11</v>
      </c>
      <c r="Q19" s="7" t="s">
        <v>29</v>
      </c>
      <c r="R19" t="s">
        <v>558</v>
      </c>
      <c r="S19" s="7" t="s">
        <v>333</v>
      </c>
      <c r="T19" s="7" t="s">
        <v>43</v>
      </c>
      <c r="U19" s="13" t="s">
        <v>332</v>
      </c>
      <c r="AA19" t="s">
        <v>11</v>
      </c>
      <c r="AB19" t="s">
        <v>34</v>
      </c>
      <c r="AX19" t="s">
        <v>37</v>
      </c>
      <c r="BB19" t="s">
        <v>100</v>
      </c>
    </row>
    <row r="20" spans="1:54" x14ac:dyDescent="0.3">
      <c r="A20" t="s">
        <v>180</v>
      </c>
      <c r="B20" t="s">
        <v>23</v>
      </c>
      <c r="E20" t="s">
        <v>13</v>
      </c>
      <c r="F20" t="s">
        <v>34</v>
      </c>
      <c r="G20" t="s">
        <v>14</v>
      </c>
      <c r="H20" t="s">
        <v>89</v>
      </c>
      <c r="P20" s="12" t="s">
        <v>11</v>
      </c>
      <c r="Q20" s="6" t="s">
        <v>30</v>
      </c>
      <c r="R20" t="s">
        <v>558</v>
      </c>
      <c r="S20" s="6" t="s">
        <v>333</v>
      </c>
      <c r="T20" s="6" t="s">
        <v>44</v>
      </c>
      <c r="U20" s="11" t="s">
        <v>332</v>
      </c>
      <c r="AA20" t="s">
        <v>12</v>
      </c>
      <c r="AB20" t="s">
        <v>29</v>
      </c>
      <c r="AX20" t="s">
        <v>38</v>
      </c>
      <c r="BB20" t="s">
        <v>101</v>
      </c>
    </row>
    <row r="21" spans="1:54" x14ac:dyDescent="0.3">
      <c r="A21" t="s">
        <v>12</v>
      </c>
      <c r="B21" t="s">
        <v>31</v>
      </c>
      <c r="E21" t="s">
        <v>13</v>
      </c>
      <c r="F21" t="s">
        <v>36</v>
      </c>
      <c r="G21" t="s">
        <v>14</v>
      </c>
      <c r="H21" t="s">
        <v>93</v>
      </c>
      <c r="P21" s="14" t="s">
        <v>11</v>
      </c>
      <c r="Q21" s="7" t="s">
        <v>31</v>
      </c>
      <c r="R21" t="s">
        <v>558</v>
      </c>
      <c r="S21" s="7" t="s">
        <v>336</v>
      </c>
      <c r="T21" s="7" t="s">
        <v>43</v>
      </c>
      <c r="U21" s="13" t="s">
        <v>332</v>
      </c>
      <c r="AA21" t="s">
        <v>12</v>
      </c>
      <c r="AB21" t="s">
        <v>30</v>
      </c>
      <c r="AX21" t="s">
        <v>39</v>
      </c>
      <c r="BB21" t="s">
        <v>102</v>
      </c>
    </row>
    <row r="22" spans="1:54" x14ac:dyDescent="0.3">
      <c r="A22" t="s">
        <v>12</v>
      </c>
      <c r="B22" t="s">
        <v>32</v>
      </c>
      <c r="P22" t="s">
        <v>9</v>
      </c>
      <c r="Q22" t="s">
        <v>31</v>
      </c>
      <c r="R22" t="s">
        <v>558</v>
      </c>
      <c r="S22" t="s">
        <v>336</v>
      </c>
      <c r="T22" t="s">
        <v>44</v>
      </c>
      <c r="U22" t="s">
        <v>332</v>
      </c>
      <c r="AA22" t="s">
        <v>180</v>
      </c>
      <c r="AB22" t="s">
        <v>33</v>
      </c>
      <c r="BB22" t="s">
        <v>103</v>
      </c>
    </row>
    <row r="23" spans="1:54" x14ac:dyDescent="0.3">
      <c r="A23" t="s">
        <v>12</v>
      </c>
      <c r="B23" t="s">
        <v>33</v>
      </c>
      <c r="P23" t="s">
        <v>9</v>
      </c>
      <c r="Q23" t="s">
        <v>32</v>
      </c>
      <c r="R23" t="s">
        <v>558</v>
      </c>
      <c r="S23" t="s">
        <v>337</v>
      </c>
      <c r="T23" t="s">
        <v>43</v>
      </c>
      <c r="U23" t="s">
        <v>332</v>
      </c>
      <c r="AA23" t="s">
        <v>180</v>
      </c>
      <c r="AB23" t="s">
        <v>34</v>
      </c>
      <c r="BB23" t="s">
        <v>104</v>
      </c>
    </row>
    <row r="24" spans="1:54" x14ac:dyDescent="0.3">
      <c r="A24" t="s">
        <v>180</v>
      </c>
      <c r="B24" t="s">
        <v>39</v>
      </c>
      <c r="P24" t="s">
        <v>9</v>
      </c>
      <c r="Q24" t="s">
        <v>33</v>
      </c>
      <c r="R24" t="s">
        <v>558</v>
      </c>
      <c r="S24" t="s">
        <v>337</v>
      </c>
      <c r="T24" t="s">
        <v>44</v>
      </c>
      <c r="U24" t="s">
        <v>332</v>
      </c>
      <c r="AA24" t="s">
        <v>180</v>
      </c>
      <c r="AB24" t="s">
        <v>36</v>
      </c>
      <c r="BB24" t="s">
        <v>342</v>
      </c>
    </row>
    <row r="25" spans="1:54" x14ac:dyDescent="0.3">
      <c r="A25" t="s">
        <v>179</v>
      </c>
      <c r="B25" t="s">
        <v>23</v>
      </c>
      <c r="P25" t="s">
        <v>9</v>
      </c>
      <c r="Q25" t="s">
        <v>34</v>
      </c>
      <c r="R25" t="s">
        <v>558</v>
      </c>
      <c r="S25" t="s">
        <v>338</v>
      </c>
      <c r="T25" t="s">
        <v>43</v>
      </c>
      <c r="U25" t="s">
        <v>332</v>
      </c>
      <c r="AA25" t="s">
        <v>180</v>
      </c>
      <c r="AB25" t="s">
        <v>37</v>
      </c>
      <c r="BB25" t="s">
        <v>472</v>
      </c>
    </row>
    <row r="26" spans="1:54" x14ac:dyDescent="0.3">
      <c r="A26" t="s">
        <v>179</v>
      </c>
      <c r="B26" t="s">
        <v>24</v>
      </c>
      <c r="AA26" t="s">
        <v>179</v>
      </c>
      <c r="AB26" t="s">
        <v>33</v>
      </c>
      <c r="BB26" t="s">
        <v>471</v>
      </c>
    </row>
    <row r="27" spans="1:54" x14ac:dyDescent="0.3">
      <c r="A27" t="s">
        <v>10</v>
      </c>
      <c r="B27" t="s">
        <v>28</v>
      </c>
      <c r="W27" t="s">
        <v>251</v>
      </c>
      <c r="AA27" t="s">
        <v>179</v>
      </c>
      <c r="AB27" t="s">
        <v>34</v>
      </c>
    </row>
    <row r="28" spans="1:54" x14ac:dyDescent="0.3">
      <c r="W28" t="s">
        <v>250</v>
      </c>
      <c r="AA28" t="s">
        <v>179</v>
      </c>
      <c r="AB28" t="s">
        <v>36</v>
      </c>
    </row>
    <row r="29" spans="1:54" x14ac:dyDescent="0.3">
      <c r="W29" t="s">
        <v>252</v>
      </c>
      <c r="AA29" t="s">
        <v>179</v>
      </c>
      <c r="AB29" t="s">
        <v>37</v>
      </c>
    </row>
    <row r="30" spans="1:54" x14ac:dyDescent="0.3">
      <c r="W30" t="s">
        <v>253</v>
      </c>
      <c r="AA30" t="s">
        <v>179</v>
      </c>
      <c r="AB30" t="s">
        <v>39</v>
      </c>
    </row>
    <row r="31" spans="1:54" x14ac:dyDescent="0.3">
      <c r="W31" t="s">
        <v>254</v>
      </c>
      <c r="AA31" t="s">
        <v>180</v>
      </c>
      <c r="AB31" t="s">
        <v>31</v>
      </c>
    </row>
    <row r="32" spans="1:54" x14ac:dyDescent="0.3">
      <c r="W32" t="s">
        <v>255</v>
      </c>
    </row>
    <row r="33" spans="11:23" x14ac:dyDescent="0.3">
      <c r="W33" t="s">
        <v>256</v>
      </c>
    </row>
    <row r="34" spans="11:23" x14ac:dyDescent="0.3">
      <c r="W34" t="s">
        <v>257</v>
      </c>
    </row>
    <row r="35" spans="11:23" x14ac:dyDescent="0.3">
      <c r="K35" t="s">
        <v>536</v>
      </c>
      <c r="W35" t="s">
        <v>258</v>
      </c>
    </row>
    <row r="36" spans="11:23" x14ac:dyDescent="0.3">
      <c r="K36" t="s">
        <v>540</v>
      </c>
      <c r="L36" t="s">
        <v>539</v>
      </c>
      <c r="M36" t="s">
        <v>541</v>
      </c>
      <c r="N36" t="s">
        <v>542</v>
      </c>
      <c r="O36" t="s">
        <v>537</v>
      </c>
      <c r="P36" t="s">
        <v>538</v>
      </c>
      <c r="Q36" t="s">
        <v>543</v>
      </c>
    </row>
    <row r="37" spans="11:23" x14ac:dyDescent="0.3">
      <c r="K37" t="s">
        <v>10</v>
      </c>
      <c r="L37" t="s">
        <v>38</v>
      </c>
      <c r="M37" t="s">
        <v>10</v>
      </c>
      <c r="N37" t="s">
        <v>39</v>
      </c>
      <c r="O37" t="s">
        <v>547</v>
      </c>
      <c r="P37" t="s">
        <v>544</v>
      </c>
      <c r="Q37" t="s">
        <v>549</v>
      </c>
    </row>
    <row r="38" spans="11:23" x14ac:dyDescent="0.3">
      <c r="K38" t="s">
        <v>179</v>
      </c>
      <c r="L38" t="s">
        <v>28</v>
      </c>
      <c r="M38" t="s">
        <v>179</v>
      </c>
      <c r="N38" t="s">
        <v>29</v>
      </c>
      <c r="O38" t="s">
        <v>4</v>
      </c>
      <c r="P38" t="s">
        <v>544</v>
      </c>
      <c r="Q38" t="s">
        <v>548</v>
      </c>
    </row>
    <row r="44" spans="11:23" x14ac:dyDescent="0.3">
      <c r="K44" t="s">
        <v>291</v>
      </c>
    </row>
    <row r="45" spans="11:23" x14ac:dyDescent="0.3">
      <c r="K45" t="s">
        <v>198</v>
      </c>
      <c r="L45" t="s">
        <v>199</v>
      </c>
      <c r="M45" t="s">
        <v>200</v>
      </c>
      <c r="N45" t="s">
        <v>201</v>
      </c>
      <c r="O45" t="s">
        <v>40</v>
      </c>
      <c r="P45" t="s">
        <v>203</v>
      </c>
    </row>
    <row r="46" spans="11:23" x14ac:dyDescent="0.3">
      <c r="K46" t="s">
        <v>12</v>
      </c>
      <c r="L46" t="s">
        <v>23</v>
      </c>
      <c r="M46" t="s">
        <v>9</v>
      </c>
      <c r="N46" t="s">
        <v>36</v>
      </c>
      <c r="O46" t="s">
        <v>197</v>
      </c>
      <c r="P46" t="s">
        <v>202</v>
      </c>
    </row>
    <row r="47" spans="11:23" x14ac:dyDescent="0.3">
      <c r="K47" s="12" t="s">
        <v>10</v>
      </c>
      <c r="L47" s="6" t="s">
        <v>36</v>
      </c>
      <c r="M47" s="6" t="s">
        <v>10</v>
      </c>
      <c r="N47" s="6" t="s">
        <v>37</v>
      </c>
      <c r="O47" t="s">
        <v>352</v>
      </c>
      <c r="P47" s="11" t="s">
        <v>550</v>
      </c>
    </row>
    <row r="57" spans="36:36" x14ac:dyDescent="0.3">
      <c r="AJ57" t="s">
        <v>105</v>
      </c>
    </row>
  </sheetData>
  <phoneticPr fontId="1" type="noConversion"/>
  <dataValidations count="5">
    <dataValidation type="list" allowBlank="1" showInputMessage="1" showErrorMessage="1" sqref="AX22 Q7 K7:K14 X7:X12 B7:B27 AB8:AB31 Q15:Q21 F7:F21" xr:uid="{14BC2D73-1395-4E2C-9D1E-55C781825C64}">
      <formula1>$AX$6:$AX$21</formula1>
    </dataValidation>
    <dataValidation type="list" allowBlank="1" showInputMessage="1" showErrorMessage="1" sqref="U26:U27" xr:uid="{843CAB93-5FB8-4584-AA77-D87D9BF50E6D}">
      <formula1>"HrTim,Tim"</formula1>
    </dataValidation>
    <dataValidation type="list" allowBlank="1" showInputMessage="1" showErrorMessage="1" sqref="U7 U12:U21" xr:uid="{2E700A6E-F322-4D4F-87DE-D704594A5EA0}">
      <formula1>"HrTim,BscTim,AdvTim"</formula1>
    </dataValidation>
    <dataValidation type="list" allowBlank="1" showInputMessage="1" showErrorMessage="1" sqref="T7 N7:N14 T15:T21" xr:uid="{727A5344-B28A-4866-9EC1-7C96029AF8B6}">
      <formula1>$AZ$7:$AZ$10</formula1>
    </dataValidation>
    <dataValidation type="list" allowBlank="1" showInputMessage="1" showErrorMessage="1" sqref="H7:H21" xr:uid="{FFFA1AF2-B35F-4BAA-AEF6-4A6121806F8D}">
      <formula1>$BB$6:$BB$26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A00DA78-9682-47F8-B701-D35809CE3FB0}">
          <x14:formula1>
            <xm:f>General_Info!$T$44:$T$49</xm:f>
          </x14:formula1>
          <xm:sqref>A7:A10 J7:J14 A13:A15 A17 W7:W12 E7:E21</xm:sqref>
        </x14:dataValidation>
        <x14:dataValidation type="list" allowBlank="1" showInputMessage="1" showErrorMessage="1" xr:uid="{4888BEDF-CC7C-430B-A682-10BA0FD1DAA3}">
          <x14:formula1>
            <xm:f>General_Info!$T$44:$T$50</xm:f>
          </x14:formula1>
          <xm:sqref>A11:A12</xm:sqref>
        </x14:dataValidation>
        <x14:dataValidation type="list" allowBlank="1" showInputMessage="1" showErrorMessage="1" xr:uid="{819DAFC8-B125-4814-B93D-15C14C2BEDB3}">
          <x14:formula1>
            <xm:f>General_Info!$T$44:$T$51</xm:f>
          </x14:formula1>
          <xm:sqref>AA8:AA31 P7:P25</xm:sqref>
        </x14:dataValidation>
        <x14:dataValidation type="list" allowBlank="1" showInputMessage="1" showErrorMessage="1" xr:uid="{3C428027-B16D-4B04-9CB2-8290577ED0FB}">
          <x14:formula1>
            <xm:f>General_Info!$Z$41:$Z$43</xm:f>
          </x14:formula1>
          <xm:sqref>G6:G21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A1"/>
  <sheetViews>
    <sheetView zoomScale="74" zoomScaleNormal="115" workbookViewId="0">
      <selection sqref="A1:I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1"/>
  <sheetViews>
    <sheetView topLeftCell="Z3" zoomScaleNormal="100" workbookViewId="0">
      <selection activeCell="AD15" sqref="AD15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324</v>
      </c>
    </row>
    <row r="7" spans="25:25" x14ac:dyDescent="0.3">
      <c r="Y7" t="s">
        <v>323</v>
      </c>
    </row>
    <row r="8" spans="25:25" x14ac:dyDescent="0.3">
      <c r="Y8" t="s">
        <v>325</v>
      </c>
    </row>
    <row r="9" spans="25:25" x14ac:dyDescent="0.3">
      <c r="Y9" t="s">
        <v>322</v>
      </c>
    </row>
    <row r="10" spans="25:25" x14ac:dyDescent="0.3">
      <c r="Y10" t="s">
        <v>326</v>
      </c>
    </row>
    <row r="11" spans="25:25" x14ac:dyDescent="0.3">
      <c r="Y11" t="s">
        <v>327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0"/>
  <sheetViews>
    <sheetView topLeftCell="Q1" zoomScale="65" zoomScaleNormal="145" workbookViewId="0">
      <selection activeCell="J6" sqref="J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  <col min="23" max="23" width="21" customWidth="1"/>
  </cols>
  <sheetData>
    <row r="2" spans="5:17" ht="25.8" customHeight="1" x14ac:dyDescent="0.3">
      <c r="I2" s="3" t="s">
        <v>110</v>
      </c>
      <c r="J2" t="s">
        <v>473</v>
      </c>
      <c r="Q2" s="2" t="s">
        <v>108</v>
      </c>
    </row>
    <row r="3" spans="5:17" x14ac:dyDescent="0.3">
      <c r="I3" t="s">
        <v>107</v>
      </c>
      <c r="J3" t="s">
        <v>113</v>
      </c>
      <c r="K3" t="s">
        <v>111</v>
      </c>
      <c r="L3" t="s">
        <v>112</v>
      </c>
      <c r="M3" t="s">
        <v>344</v>
      </c>
    </row>
    <row r="4" spans="5:17" x14ac:dyDescent="0.3">
      <c r="I4" t="s">
        <v>343</v>
      </c>
      <c r="J4" t="s">
        <v>470</v>
      </c>
      <c r="K4" t="s">
        <v>182</v>
      </c>
      <c r="L4" t="s">
        <v>103</v>
      </c>
      <c r="M4" t="s">
        <v>345</v>
      </c>
    </row>
    <row r="5" spans="5:17" x14ac:dyDescent="0.3">
      <c r="I5" t="s">
        <v>106</v>
      </c>
      <c r="J5" t="s">
        <v>469</v>
      </c>
      <c r="K5" t="s">
        <v>182</v>
      </c>
      <c r="L5" t="s">
        <v>104</v>
      </c>
      <c r="M5" t="s">
        <v>345</v>
      </c>
    </row>
    <row r="6" spans="5:17" x14ac:dyDescent="0.3">
      <c r="I6" t="s">
        <v>521</v>
      </c>
      <c r="J6" t="s">
        <v>563</v>
      </c>
      <c r="K6" t="s">
        <v>182</v>
      </c>
      <c r="L6" t="s">
        <v>104</v>
      </c>
      <c r="M6" t="s">
        <v>522</v>
      </c>
    </row>
    <row r="7" spans="5:17" x14ac:dyDescent="0.3">
      <c r="E7" t="s">
        <v>251</v>
      </c>
    </row>
    <row r="8" spans="5:17" x14ac:dyDescent="0.3">
      <c r="E8" t="s">
        <v>250</v>
      </c>
      <c r="F8" t="s">
        <v>280</v>
      </c>
    </row>
    <row r="9" spans="5:17" x14ac:dyDescent="0.3">
      <c r="E9" t="s">
        <v>468</v>
      </c>
      <c r="F9" t="s">
        <v>281</v>
      </c>
    </row>
    <row r="10" spans="5:17" x14ac:dyDescent="0.3">
      <c r="E10" t="s">
        <v>259</v>
      </c>
      <c r="F10" t="s">
        <v>282</v>
      </c>
    </row>
    <row r="17" spans="20:23" x14ac:dyDescent="0.3">
      <c r="T17" t="s">
        <v>109</v>
      </c>
      <c r="U17" t="s">
        <v>114</v>
      </c>
      <c r="V17" t="s">
        <v>111</v>
      </c>
      <c r="W17" t="s">
        <v>112</v>
      </c>
    </row>
    <row r="18" spans="20:23" x14ac:dyDescent="0.3">
      <c r="T18" t="s">
        <v>301</v>
      </c>
      <c r="U18" t="s">
        <v>470</v>
      </c>
      <c r="V18" t="s">
        <v>182</v>
      </c>
      <c r="W18" t="s">
        <v>342</v>
      </c>
    </row>
    <row r="19" spans="20:23" x14ac:dyDescent="0.3">
      <c r="T19" t="s">
        <v>302</v>
      </c>
      <c r="U19" t="s">
        <v>470</v>
      </c>
      <c r="V19" t="s">
        <v>182</v>
      </c>
      <c r="W19" t="s">
        <v>342</v>
      </c>
    </row>
    <row r="20" spans="20:23" x14ac:dyDescent="0.3">
      <c r="T20" t="s">
        <v>303</v>
      </c>
      <c r="U20" t="s">
        <v>470</v>
      </c>
      <c r="V20" t="s">
        <v>182</v>
      </c>
      <c r="W20" t="s">
        <v>342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General_Info!$Z$41:$Z$43</xm:f>
          </x14:formula1>
          <xm:sqref>V18:V20 K4:K6</xm:sqref>
        </x14:dataValidation>
        <x14:dataValidation type="list" allowBlank="1" showInputMessage="1" showErrorMessage="1" xr:uid="{7AB0981D-B484-49AA-81E2-46EA728857EF}">
          <x14:formula1>
            <xm:f>FMK_IO!$BB$6:$BB$26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25"/>
  <sheetViews>
    <sheetView zoomScale="68" zoomScaleNormal="70" workbookViewId="0">
      <selection activeCell="B11" sqref="B11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353</v>
      </c>
    </row>
    <row r="2" spans="2:16" x14ac:dyDescent="0.3">
      <c r="B2" t="s">
        <v>241</v>
      </c>
      <c r="C2" t="s">
        <v>242</v>
      </c>
      <c r="D2" t="s">
        <v>243</v>
      </c>
      <c r="E2" t="s">
        <v>244</v>
      </c>
      <c r="J2" t="s">
        <v>251</v>
      </c>
    </row>
    <row r="3" spans="2:16" x14ac:dyDescent="0.3">
      <c r="B3" t="s">
        <v>238</v>
      </c>
      <c r="C3" t="s">
        <v>239</v>
      </c>
      <c r="D3" t="s">
        <v>43</v>
      </c>
      <c r="E3" t="s">
        <v>65</v>
      </c>
      <c r="J3" t="s">
        <v>250</v>
      </c>
      <c r="K3" t="s">
        <v>287</v>
      </c>
      <c r="P3" t="s">
        <v>290</v>
      </c>
    </row>
    <row r="4" spans="2:16" x14ac:dyDescent="0.3">
      <c r="B4" t="s">
        <v>282</v>
      </c>
      <c r="C4" t="s">
        <v>239</v>
      </c>
      <c r="D4" t="s">
        <v>44</v>
      </c>
      <c r="E4" t="s">
        <v>65</v>
      </c>
      <c r="J4" t="s">
        <v>265</v>
      </c>
      <c r="K4" t="s">
        <v>238</v>
      </c>
      <c r="L4" t="s">
        <v>288</v>
      </c>
      <c r="P4" t="s">
        <v>167</v>
      </c>
    </row>
    <row r="5" spans="2:16" x14ac:dyDescent="0.3">
      <c r="B5" t="s">
        <v>285</v>
      </c>
      <c r="C5" t="s">
        <v>239</v>
      </c>
      <c r="D5" t="s">
        <v>85</v>
      </c>
      <c r="E5" t="s">
        <v>65</v>
      </c>
      <c r="J5" t="s">
        <v>266</v>
      </c>
      <c r="K5" t="s">
        <v>282</v>
      </c>
      <c r="P5" t="s">
        <v>483</v>
      </c>
    </row>
    <row r="6" spans="2:16" x14ac:dyDescent="0.3">
      <c r="B6" t="s">
        <v>286</v>
      </c>
      <c r="C6" t="s">
        <v>239</v>
      </c>
      <c r="D6" t="s">
        <v>48</v>
      </c>
      <c r="E6" t="s">
        <v>65</v>
      </c>
      <c r="J6" t="s">
        <v>267</v>
      </c>
      <c r="K6" t="s">
        <v>285</v>
      </c>
    </row>
    <row r="7" spans="2:16" x14ac:dyDescent="0.3">
      <c r="B7" t="s">
        <v>246</v>
      </c>
      <c r="C7" t="s">
        <v>239</v>
      </c>
      <c r="D7" t="s">
        <v>245</v>
      </c>
      <c r="E7" t="s">
        <v>65</v>
      </c>
      <c r="J7" t="s">
        <v>268</v>
      </c>
      <c r="K7" t="s">
        <v>286</v>
      </c>
    </row>
    <row r="8" spans="2:16" x14ac:dyDescent="0.3">
      <c r="B8" t="s">
        <v>248</v>
      </c>
      <c r="C8" t="s">
        <v>239</v>
      </c>
      <c r="D8" t="s">
        <v>247</v>
      </c>
      <c r="E8" t="s">
        <v>65</v>
      </c>
      <c r="J8" t="s">
        <v>269</v>
      </c>
      <c r="K8" t="s">
        <v>246</v>
      </c>
    </row>
    <row r="9" spans="2:16" x14ac:dyDescent="0.3">
      <c r="B9" t="s">
        <v>564</v>
      </c>
      <c r="C9" t="s">
        <v>239</v>
      </c>
      <c r="D9" t="s">
        <v>249</v>
      </c>
      <c r="E9" t="s">
        <v>65</v>
      </c>
      <c r="J9" t="s">
        <v>270</v>
      </c>
      <c r="K9" t="s">
        <v>248</v>
      </c>
    </row>
    <row r="10" spans="2:16" x14ac:dyDescent="0.3">
      <c r="B10" t="s">
        <v>565</v>
      </c>
      <c r="C10" t="s">
        <v>239</v>
      </c>
      <c r="D10" t="s">
        <v>566</v>
      </c>
      <c r="E10" t="s">
        <v>65</v>
      </c>
      <c r="J10" t="s">
        <v>271</v>
      </c>
      <c r="K10" t="s">
        <v>564</v>
      </c>
    </row>
    <row r="11" spans="2:16" x14ac:dyDescent="0.3">
      <c r="B11" t="s">
        <v>289</v>
      </c>
      <c r="C11" t="s">
        <v>240</v>
      </c>
      <c r="D11" t="s">
        <v>43</v>
      </c>
      <c r="E11" t="s">
        <v>65</v>
      </c>
      <c r="J11" t="s">
        <v>567</v>
      </c>
      <c r="K11" t="s">
        <v>565</v>
      </c>
    </row>
    <row r="12" spans="2:16" x14ac:dyDescent="0.3">
      <c r="J12" s="15" t="s">
        <v>260</v>
      </c>
      <c r="K12" t="s">
        <v>289</v>
      </c>
    </row>
    <row r="13" spans="2:16" x14ac:dyDescent="0.3">
      <c r="J13" s="16" t="s">
        <v>261</v>
      </c>
    </row>
    <row r="14" spans="2:16" x14ac:dyDescent="0.3">
      <c r="J14" s="15" t="s">
        <v>262</v>
      </c>
    </row>
    <row r="15" spans="2:16" x14ac:dyDescent="0.3">
      <c r="J15" s="16" t="s">
        <v>263</v>
      </c>
    </row>
    <row r="16" spans="2:16" x14ac:dyDescent="0.3">
      <c r="J16" s="15" t="s">
        <v>264</v>
      </c>
    </row>
    <row r="17" spans="10:10" x14ac:dyDescent="0.3">
      <c r="J17" t="s">
        <v>272</v>
      </c>
    </row>
    <row r="18" spans="10:10" x14ac:dyDescent="0.3">
      <c r="J18" t="s">
        <v>273</v>
      </c>
    </row>
    <row r="19" spans="10:10" x14ac:dyDescent="0.3">
      <c r="J19" t="s">
        <v>274</v>
      </c>
    </row>
    <row r="21" spans="10:10" x14ac:dyDescent="0.3">
      <c r="J21" s="15"/>
    </row>
    <row r="22" spans="10:10" x14ac:dyDescent="0.3">
      <c r="J22" s="16"/>
    </row>
    <row r="23" spans="10:10" x14ac:dyDescent="0.3">
      <c r="J23" s="15"/>
    </row>
    <row r="24" spans="10:10" x14ac:dyDescent="0.3">
      <c r="J24" s="16"/>
    </row>
    <row r="25" spans="10:10" x14ac:dyDescent="0.3">
      <c r="J25" s="15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9"/>
  <sheetViews>
    <sheetView workbookViewId="0">
      <selection activeCell="G7" sqref="G7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275</v>
      </c>
    </row>
    <row r="4" spans="1:7" x14ac:dyDescent="0.3">
      <c r="B4" t="s">
        <v>251</v>
      </c>
    </row>
    <row r="5" spans="1:7" x14ac:dyDescent="0.3">
      <c r="B5" t="s">
        <v>250</v>
      </c>
      <c r="D5" t="s">
        <v>346</v>
      </c>
      <c r="E5" t="s">
        <v>351</v>
      </c>
      <c r="F5" t="s">
        <v>348</v>
      </c>
      <c r="G5" t="s">
        <v>349</v>
      </c>
    </row>
    <row r="6" spans="1:7" x14ac:dyDescent="0.3">
      <c r="B6" t="s">
        <v>276</v>
      </c>
      <c r="D6" t="s">
        <v>347</v>
      </c>
      <c r="E6" t="s">
        <v>172</v>
      </c>
      <c r="F6">
        <v>80</v>
      </c>
      <c r="G6">
        <v>120</v>
      </c>
    </row>
    <row r="7" spans="1:7" x14ac:dyDescent="0.3">
      <c r="B7" t="s">
        <v>277</v>
      </c>
      <c r="D7" t="s">
        <v>350</v>
      </c>
      <c r="E7" t="s">
        <v>172</v>
      </c>
      <c r="F7">
        <v>80</v>
      </c>
      <c r="G7">
        <v>120</v>
      </c>
    </row>
    <row r="8" spans="1:7" x14ac:dyDescent="0.3">
      <c r="B8" t="s">
        <v>278</v>
      </c>
    </row>
    <row r="9" spans="1:7" x14ac:dyDescent="0.3">
      <c r="B9" t="s">
        <v>279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10"/>
  <sheetViews>
    <sheetView workbookViewId="0">
      <selection activeCell="F15" sqref="F1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293</v>
      </c>
      <c r="F2" t="s">
        <v>292</v>
      </c>
      <c r="G2" t="s">
        <v>299</v>
      </c>
      <c r="H2" t="s">
        <v>300</v>
      </c>
      <c r="I2" t="s">
        <v>198</v>
      </c>
      <c r="J2" t="s">
        <v>199</v>
      </c>
      <c r="K2" t="s">
        <v>200</v>
      </c>
      <c r="L2" t="s">
        <v>201</v>
      </c>
      <c r="M2" t="s">
        <v>40</v>
      </c>
    </row>
    <row r="3" spans="5:13" x14ac:dyDescent="0.3">
      <c r="E3" t="s">
        <v>74</v>
      </c>
      <c r="F3" t="s">
        <v>294</v>
      </c>
      <c r="G3">
        <v>1024</v>
      </c>
      <c r="H3">
        <v>1024</v>
      </c>
      <c r="I3" t="s">
        <v>10</v>
      </c>
      <c r="J3" t="s">
        <v>30</v>
      </c>
      <c r="K3" t="s">
        <v>10</v>
      </c>
      <c r="L3" t="s">
        <v>29</v>
      </c>
      <c r="M3" t="s">
        <v>559</v>
      </c>
    </row>
    <row r="4" spans="5:13" x14ac:dyDescent="0.3">
      <c r="E4" t="s">
        <v>75</v>
      </c>
      <c r="F4" t="s">
        <v>295</v>
      </c>
      <c r="G4">
        <v>1024</v>
      </c>
      <c r="H4">
        <v>1024</v>
      </c>
      <c r="I4" t="s">
        <v>9</v>
      </c>
      <c r="J4" t="s">
        <v>26</v>
      </c>
      <c r="K4" t="s">
        <v>9</v>
      </c>
      <c r="L4" t="s">
        <v>25</v>
      </c>
      <c r="M4" t="s">
        <v>560</v>
      </c>
    </row>
    <row r="5" spans="5:13" x14ac:dyDescent="0.3">
      <c r="E5" t="s">
        <v>156</v>
      </c>
      <c r="F5" t="s">
        <v>296</v>
      </c>
      <c r="G5">
        <v>0</v>
      </c>
      <c r="H5">
        <v>0</v>
      </c>
    </row>
    <row r="6" spans="5:13" x14ac:dyDescent="0.3">
      <c r="E6" t="s">
        <v>191</v>
      </c>
      <c r="F6" t="s">
        <v>297</v>
      </c>
      <c r="G6">
        <v>0</v>
      </c>
      <c r="H6">
        <v>0</v>
      </c>
    </row>
    <row r="7" spans="5:13" x14ac:dyDescent="0.3">
      <c r="E7" t="s">
        <v>192</v>
      </c>
      <c r="F7" t="s">
        <v>298</v>
      </c>
      <c r="G7">
        <v>0</v>
      </c>
      <c r="H7">
        <v>0</v>
      </c>
    </row>
    <row r="8" spans="5:13" x14ac:dyDescent="0.3">
      <c r="E8" t="s">
        <v>436</v>
      </c>
      <c r="F8" t="s">
        <v>486</v>
      </c>
      <c r="G8">
        <v>1024</v>
      </c>
      <c r="H8">
        <v>1024</v>
      </c>
      <c r="I8" t="s">
        <v>180</v>
      </c>
      <c r="J8" t="s">
        <v>32</v>
      </c>
      <c r="K8" t="s">
        <v>180</v>
      </c>
      <c r="L8" t="s">
        <v>38</v>
      </c>
      <c r="M8" t="s">
        <v>561</v>
      </c>
    </row>
    <row r="9" spans="5:13" x14ac:dyDescent="0.3">
      <c r="E9" t="s">
        <v>437</v>
      </c>
      <c r="F9" t="s">
        <v>484</v>
      </c>
      <c r="G9">
        <v>0</v>
      </c>
      <c r="H9">
        <v>0</v>
      </c>
    </row>
    <row r="10" spans="5:13" x14ac:dyDescent="0.3">
      <c r="E10" t="s">
        <v>438</v>
      </c>
      <c r="F10" t="s">
        <v>485</v>
      </c>
      <c r="G10">
        <v>0</v>
      </c>
      <c r="H1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5" t="s">
        <v>226</v>
      </c>
    </row>
    <row r="3" spans="3:14" x14ac:dyDescent="0.3">
      <c r="C3">
        <v>1000000</v>
      </c>
    </row>
    <row r="4" spans="3:14" x14ac:dyDescent="0.3">
      <c r="L4" t="s">
        <v>219</v>
      </c>
      <c r="N4" t="s">
        <v>222</v>
      </c>
    </row>
    <row r="5" spans="3:14" x14ac:dyDescent="0.3">
      <c r="L5">
        <v>65000</v>
      </c>
      <c r="N5">
        <v>9</v>
      </c>
    </row>
    <row r="7" spans="3:14" x14ac:dyDescent="0.3">
      <c r="D7" t="s">
        <v>217</v>
      </c>
      <c r="E7" t="s">
        <v>216</v>
      </c>
      <c r="F7" t="s">
        <v>214</v>
      </c>
      <c r="G7" t="s">
        <v>215</v>
      </c>
      <c r="J7" t="s">
        <v>218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225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224</v>
      </c>
    </row>
    <row r="13" spans="3:14" x14ac:dyDescent="0.3">
      <c r="J13" t="s">
        <v>220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105</v>
      </c>
    </row>
    <row r="17" spans="2:16" x14ac:dyDescent="0.3">
      <c r="J17" t="s">
        <v>221</v>
      </c>
      <c r="L17" t="s">
        <v>223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8" spans="2:16" x14ac:dyDescent="0.3">
      <c r="D28" t="s">
        <v>229</v>
      </c>
      <c r="K28" t="s">
        <v>231</v>
      </c>
    </row>
    <row r="29" spans="2:16" x14ac:dyDescent="0.3">
      <c r="D29">
        <v>1000000</v>
      </c>
      <c r="K29">
        <f>1/(D31/1000)</f>
        <v>0.5</v>
      </c>
      <c r="M29" t="s">
        <v>214</v>
      </c>
    </row>
    <row r="30" spans="2:16" x14ac:dyDescent="0.3">
      <c r="D30" t="s">
        <v>227</v>
      </c>
      <c r="E30" t="s">
        <v>228</v>
      </c>
      <c r="F30" t="s">
        <v>230</v>
      </c>
      <c r="G30" t="s">
        <v>215</v>
      </c>
      <c r="I30" t="s">
        <v>234</v>
      </c>
      <c r="J30" t="s">
        <v>232</v>
      </c>
      <c r="K30" t="s">
        <v>235</v>
      </c>
      <c r="L30" t="s">
        <v>236</v>
      </c>
      <c r="M30" t="s">
        <v>233</v>
      </c>
      <c r="O30" t="s">
        <v>237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C3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5" t="s">
        <v>307</v>
      </c>
    </row>
    <row r="5" spans="2:15" x14ac:dyDescent="0.3">
      <c r="J5" t="s">
        <v>319</v>
      </c>
      <c r="K5" t="s">
        <v>320</v>
      </c>
      <c r="L5" t="s">
        <v>321</v>
      </c>
    </row>
    <row r="6" spans="2:15" x14ac:dyDescent="0.3">
      <c r="J6">
        <v>240000000</v>
      </c>
      <c r="K6">
        <v>1024</v>
      </c>
      <c r="L6">
        <v>65534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8" t="s">
        <v>316</v>
      </c>
      <c r="F20" s="8" t="s">
        <v>318</v>
      </c>
      <c r="G20" s="9" t="s">
        <v>317</v>
      </c>
    </row>
    <row r="21" spans="5:18" x14ac:dyDescent="0.3">
      <c r="E21" s="6" t="s">
        <v>308</v>
      </c>
      <c r="F21" s="6">
        <f>$J$6 *$O$8 / $K$6</f>
        <v>7500000</v>
      </c>
      <c r="G21" s="6">
        <f>$J$6 *$O$8 / $L$6</f>
        <v>117191.07638782922</v>
      </c>
    </row>
    <row r="22" spans="5:18" x14ac:dyDescent="0.3">
      <c r="E22" s="7" t="s">
        <v>309</v>
      </c>
      <c r="F22" s="7">
        <f>$J$6 *$O$9 / $K$6</f>
        <v>3750000</v>
      </c>
      <c r="G22" s="7">
        <f>$J$6 *$O$9 / $L$6</f>
        <v>58595.53819391461</v>
      </c>
    </row>
    <row r="23" spans="5:18" x14ac:dyDescent="0.3">
      <c r="E23" s="6" t="s">
        <v>310</v>
      </c>
      <c r="F23" s="6">
        <f>$J$6 *$O$10 / $K$6</f>
        <v>1875000</v>
      </c>
      <c r="G23" s="6">
        <f>$J$6 *$O$10 / $L$6</f>
        <v>29297.769096957305</v>
      </c>
      <c r="R23" t="s">
        <v>105</v>
      </c>
    </row>
    <row r="24" spans="5:18" x14ac:dyDescent="0.3">
      <c r="E24" s="7" t="s">
        <v>311</v>
      </c>
      <c r="F24" s="7">
        <f>$J$6 *$O$11 / $K$6</f>
        <v>937500</v>
      </c>
      <c r="G24" s="7">
        <f>$J$6 *$O$11 / $L$6</f>
        <v>14648.884548478653</v>
      </c>
    </row>
    <row r="25" spans="5:18" x14ac:dyDescent="0.3">
      <c r="E25" s="6" t="s">
        <v>312</v>
      </c>
      <c r="F25" s="6">
        <f>$J$6 *$O$12 / $K$6</f>
        <v>468750</v>
      </c>
      <c r="G25" s="6">
        <f>$J$6 *$O$12 / $L$6</f>
        <v>7324.4422742393263</v>
      </c>
    </row>
    <row r="26" spans="5:18" x14ac:dyDescent="0.3">
      <c r="E26" s="7" t="s">
        <v>313</v>
      </c>
      <c r="F26" s="7">
        <f>$J$6 *$O$13 / $K$6</f>
        <v>234375</v>
      </c>
      <c r="G26" s="7">
        <f>$J$6 *$O$13 / $L$6</f>
        <v>3662.2211371196631</v>
      </c>
    </row>
    <row r="27" spans="5:18" x14ac:dyDescent="0.3">
      <c r="E27" s="6" t="s">
        <v>314</v>
      </c>
      <c r="F27" s="6">
        <f>$J$6 / $O$14 / $K$6</f>
        <v>117187.5</v>
      </c>
      <c r="G27" s="6">
        <f>$J$6 / $O$14 / $L$6</f>
        <v>1831.1105685598316</v>
      </c>
    </row>
    <row r="28" spans="5:18" x14ac:dyDescent="0.3">
      <c r="E28" s="10" t="s">
        <v>315</v>
      </c>
      <c r="F28" s="10">
        <f>$J$6 / $O$15 / $K$6</f>
        <v>58593.75</v>
      </c>
      <c r="G28" s="10">
        <f>$J$6 / $O$15 / $L$6</f>
        <v>915.55528427991578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2025-08-10T14:26:33Z</dcterms:modified>
</cp:coreProperties>
</file>