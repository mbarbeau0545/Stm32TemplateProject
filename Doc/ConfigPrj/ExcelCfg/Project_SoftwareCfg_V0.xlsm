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PROJECT\STM32\H7_Integration\Doc\ConfigPrj\ExcelCfg\"/>
    </mc:Choice>
  </mc:AlternateContent>
  <xr:revisionPtr revIDLastSave="0" documentId="13_ncr:1_{224B2BC0-C814-40A1-A26A-F35FC9B19D83}" xr6:coauthVersionLast="47" xr6:coauthVersionMax="47" xr10:uidLastSave="{00000000-0000-0000-0000-000000000000}"/>
  <bookViews>
    <workbookView xWindow="-110" yWindow="-110" windowWidth="25820" windowHeight="15500" activeTab="3" xr2:uid="{D0BA3158-A968-48A5-9590-611DD8CA9BD8}"/>
  </bookViews>
  <sheets>
    <sheet name="General" sheetId="1" r:id="rId1"/>
    <sheet name="Sensors_Drivers" sheetId="2" r:id="rId2"/>
    <sheet name="Actuators_Drivers" sheetId="3" r:id="rId3"/>
    <sheet name="Parameters" sheetId="7" r:id="rId4"/>
    <sheet name="Diagnostic" sheetId="4" r:id="rId5"/>
    <sheet name="DiagStrategy" sheetId="6" r:id="rId6"/>
    <sheet name="Logic" sheetId="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7" l="1"/>
  <c r="C7" i="7" s="1"/>
  <c r="C8" i="7" s="1"/>
  <c r="B23" i="4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E3" i="3"/>
</calcChain>
</file>

<file path=xl/sharedStrings.xml><?xml version="1.0" encoding="utf-8"?>
<sst xmlns="http://schemas.openxmlformats.org/spreadsheetml/2006/main" count="204" uniqueCount="149">
  <si>
    <t>Descritpion</t>
  </si>
  <si>
    <t xml:space="preserve">Description </t>
  </si>
  <si>
    <t>Sensors_unity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</si>
  <si>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</si>
  <si>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</si>
  <si>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</si>
  <si>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</si>
  <si>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</si>
  <si>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</si>
  <si>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</si>
  <si>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</si>
  <si>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</si>
  <si>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</si>
  <si>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</si>
  <si>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</si>
  <si>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</si>
  <si>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</si>
  <si>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</si>
  <si>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</si>
  <si>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</si>
  <si>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</si>
  <si>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</si>
  <si>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</si>
  <si>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</si>
  <si>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</si>
  <si>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</si>
  <si>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</si>
  <si>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</si>
  <si>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</si>
  <si>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</si>
  <si>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</si>
  <si>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</si>
  <si>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</si>
  <si>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</si>
  <si>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</si>
  <si>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</si>
  <si>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</si>
  <si>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</si>
  <si>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</si>
  <si>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</si>
  <si>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</si>
  <si>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</si>
  <si>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</si>
  <si>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</si>
  <si>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</si>
  <si>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</si>
  <si>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</si>
  <si>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</si>
  <si>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</si>
  <si>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</si>
  <si>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</si>
  <si>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</si>
  <si>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</si>
  <si>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</si>
  <si>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</si>
  <si>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</si>
  <si>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</si>
  <si>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</si>
  <si>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</si>
  <si>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</si>
  <si>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SoVersion</t>
  </si>
  <si>
    <t>01</t>
  </si>
  <si>
    <t>ECU ID</t>
  </si>
  <si>
    <t>0x45689657</t>
  </si>
  <si>
    <t>Gère la gestion du gantry</t>
  </si>
  <si>
    <t>Id</t>
  </si>
  <si>
    <t>NOM_SOFTWARE</t>
  </si>
  <si>
    <t>VERSION</t>
  </si>
  <si>
    <t>APPSIG_MSG_TIMEOUT</t>
  </si>
  <si>
    <t>idx of the message</t>
  </si>
  <si>
    <t>type of the message</t>
  </si>
  <si>
    <t xml:space="preserve">module  error </t>
  </si>
  <si>
    <t>module error</t>
  </si>
  <si>
    <t>FMK_FDCAN_OPE_ERROR</t>
  </si>
  <si>
    <t>FMK_SRL_OPE_ERROR</t>
  </si>
  <si>
    <t>FMK_HRT_OPE_ERROR</t>
  </si>
  <si>
    <t>FMK_TIM_OPE_ERROR</t>
  </si>
  <si>
    <t>FMK_CPU_OPE_ERROR</t>
  </si>
  <si>
    <t>General Error = 0, Fifo Rx Error = 1, Fifo Tx Error = 2</t>
  </si>
  <si>
    <t>[0:7] - Dma channel, [8:15] - Dma controller</t>
  </si>
  <si>
    <t>High Resolution instance</t>
  </si>
  <si>
    <t>error from HAL_HRTIM_StateTypeDef</t>
  </si>
  <si>
    <t>error from t_eFMKSRL_LineHealth</t>
  </si>
  <si>
    <t>Error from t_eFMKFDCAN_NodeStatus</t>
  </si>
  <si>
    <t>error from t_eFMKCPU_DmaChnlErr</t>
  </si>
  <si>
    <t>FMK_CDA_OPE_ERROR</t>
  </si>
  <si>
    <t>Idx Adc</t>
  </si>
  <si>
    <t>error from t_eFMKCDA_AdcErrState</t>
  </si>
  <si>
    <t>DebuncerCnt</t>
  </si>
  <si>
    <t>Stay Active Ms if no news</t>
  </si>
  <si>
    <t>FMK_CPU_TEMP_OUT_OF_RANGE</t>
  </si>
  <si>
    <t xml:space="preserve">temperature of the cpu </t>
  </si>
  <si>
    <t>FMK_SUPPLY_VOLTAGE_OUT_OF_RANGE</t>
  </si>
  <si>
    <t>Voltage of the cpu * 10</t>
  </si>
  <si>
    <t>Ecu Id</t>
  </si>
  <si>
    <t>STM_1</t>
  </si>
  <si>
    <t>Management of ECU</t>
  </si>
  <si>
    <t>Machine X</t>
  </si>
  <si>
    <t>Sys Option</t>
  </si>
  <si>
    <t>Enum 1</t>
  </si>
  <si>
    <t>Enum 2</t>
  </si>
  <si>
    <t>the parameter of the Device cfg is automatically get the Python Tool, as SNS_DVC_CFGID_{DVC_NAME}</t>
  </si>
  <si>
    <t>Sensors_Device Name (In Code)</t>
  </si>
  <si>
    <t>Interface ( the capteur value from your sensors)</t>
  </si>
  <si>
    <t>Debug Signal</t>
  </si>
  <si>
    <t>Colonne1</t>
  </si>
  <si>
    <t>Colonne14</t>
  </si>
  <si>
    <t>Colonne13</t>
  </si>
  <si>
    <t>Colonne12</t>
  </si>
  <si>
    <t>Colonne2</t>
  </si>
  <si>
    <t>OFFSET_GAIN</t>
  </si>
  <si>
    <t>1.0</t>
  </si>
  <si>
    <t>BYPASS</t>
  </si>
  <si>
    <t>Is Cyclic In Fast Task</t>
  </si>
  <si>
    <t>Actuator_Device Name</t>
  </si>
  <si>
    <t>Actuator Interface Name</t>
  </si>
  <si>
    <t>Set Debug Signal</t>
  </si>
  <si>
    <t>Get Debug Signal</t>
  </si>
  <si>
    <t>Ctrl Debug Signal</t>
  </si>
  <si>
    <t>Cyclic In Fast Task</t>
  </si>
  <si>
    <t>CL42T</t>
  </si>
  <si>
    <t xml:space="preserve">CL42T Driver </t>
  </si>
  <si>
    <t>MIN (float)</t>
  </si>
  <si>
    <t>MAX (float)</t>
  </si>
  <si>
    <t>DEFAULT (float) , conversion not apply</t>
  </si>
  <si>
    <t>Factor (float)</t>
  </si>
  <si>
    <t>Offset  (sint16)</t>
  </si>
  <si>
    <t>Signal ID (from APPSIG)</t>
  </si>
  <si>
    <t>s</t>
  </si>
  <si>
    <t>APPSYS_ECU_POS_ERROR</t>
  </si>
  <si>
    <t>Ecu position failed to anaolog</t>
  </si>
  <si>
    <t>SYS_MACHINE_ID</t>
  </si>
  <si>
    <t>Object Id (from NVM)</t>
  </si>
  <si>
    <t>SERIAL_NUMBER</t>
  </si>
  <si>
    <t>HW_VERSION</t>
  </si>
  <si>
    <t>SW_VERISON</t>
  </si>
  <si>
    <t>MACHINE_ID</t>
  </si>
  <si>
    <t>System machine ID</t>
  </si>
  <si>
    <t>Size</t>
  </si>
  <si>
    <t>Ctypes</t>
  </si>
  <si>
    <t>t_uint16</t>
  </si>
  <si>
    <t>t_char</t>
  </si>
  <si>
    <t>SW_VERSION</t>
  </si>
  <si>
    <t>Access</t>
  </si>
  <si>
    <t>RO</t>
  </si>
  <si>
    <t>RW</t>
  </si>
  <si>
    <t>WO</t>
  </si>
  <si>
    <t>TEST_PARAM</t>
  </si>
  <si>
    <t>t_sAPPLGC_ParamTest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</si>
</sst>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0" fillId="3" borderId="1" xfId="0" applyFill="1" applyBorder="1"/>
    <xf numFmtId="0" fontId="2" fillId="2" borderId="3" xfId="0" applyFont="1" applyFill="1" applyBorder="1"/>
    <xf numFmtId="0" fontId="0" fillId="3" borderId="2" xfId="0" applyFill="1" applyBorder="1"/>
    <xf numFmtId="0" fontId="0" fillId="0" borderId="2" xfId="0" applyBorder="1"/>
    <xf numFmtId="0" fontId="0" fillId="3" borderId="3" xfId="0" applyFill="1" applyBorder="1"/>
    <xf numFmtId="0" fontId="0" fillId="3" borderId="4" xfId="0" applyFill="1" applyBorder="1"/>
    <xf numFmtId="0" fontId="0" fillId="0" borderId="4" xfId="0" applyBorder="1"/>
    <xf numFmtId="0" fontId="2" fillId="2" borderId="5" xfId="0" applyFont="1" applyFill="1" applyBorder="1"/>
    <xf numFmtId="1" fontId="0" fillId="0" borderId="4" xfId="0" applyNumberFormat="1" applyBorder="1"/>
    <xf numFmtId="1" fontId="0" fillId="0" borderId="0" xfId="0" applyNumberFormat="1" applyBorder="1"/>
    <xf numFmtId="0" fontId="0" fillId="0" borderId="0" xfId="0" applyBorder="1"/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</cellXfs>
  <cellStyles count="1">
    <cellStyle name="Normal" xfId="0" builtinId="0"/>
  </cellStyles>
  <dxfs count="20">
    <dxf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border diagonalUp="0" diagonalDown="0" outline="0">
        <left/>
        <right/>
        <top style="thin">
          <color theme="4" tint="0.39997558519241921"/>
        </top>
        <bottom/>
      </border>
    </dxf>
    <dxf>
      <numFmt numFmtId="30" formatCode="@"/>
    </dxf>
    <dxf>
      <numFmt numFmtId="30" formatCode="@"/>
    </dxf>
    <dxf>
      <numFmt numFmtId="30" formatCode="@"/>
    </dxf>
    <dxf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E7D1695-41E1-4B3F-AF19-9C465D64B382}" name="GeneralInfoSoftware" displayName="GeneralInfoSoftware" ref="C5:D6" totalsRowShown="0" dataDxfId="13">
  <autoFilter ref="C5:D6" xr:uid="{9E7D1695-41E1-4B3F-AF19-9C465D64B382}"/>
  <tableColumns count="2">
    <tableColumn id="1" xr3:uid="{D018933D-AFCC-4CCF-9485-3F5118AE0ABA}" name="SoVersion" dataDxfId="12"/>
    <tableColumn id="3" xr3:uid="{6155E057-4AE4-4CC7-88F0-74C5D2AB6240}" name="ECU ID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22DF93B-F0F7-4940-8C5F-B5A1D318F777}" name="EcuNbDesc" displayName="EcuNbDesc" ref="G5:H6" totalsRowShown="0">
  <autoFilter ref="G5:H6" xr:uid="{422DF93B-F0F7-4940-8C5F-B5A1D318F777}"/>
  <tableColumns count="2">
    <tableColumn id="1" xr3:uid="{5B9CFAB3-3C32-48B0-84C7-9CCBF9A4819D}" name="Ecu Id"/>
    <tableColumn id="2" xr3:uid="{DAC518BA-2B45-43BB-8DB8-1B407E62F1A7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24E2DF0-19ED-4670-B1AA-8D297DFBADE2}" name="AppSns_DriverList" displayName="AppSns_DriverList" ref="G14:K15" totalsRowShown="0">
  <autoFilter ref="G14:K15" xr:uid="{A24E2DF0-19ED-4670-B1AA-8D297DFBADE2}"/>
  <tableColumns count="5">
    <tableColumn id="1" xr3:uid="{ABD507CB-E2CC-435D-B45C-E8B3F3FDFCB5}" name="Colonne1"/>
    <tableColumn id="2" xr3:uid="{4C6E53FD-90D6-4B56-8CDF-7248EDAEA68A}" name="Colonne2"/>
    <tableColumn id="3" xr3:uid="{15E1728F-2116-48C2-AEE7-ED52ED481CCE}" name="Is there Drv_Cyclic_Function?"/>
    <tableColumn id="5" xr3:uid="{DECB9132-E7C9-41CA-BBE0-8EF20A30CAC2}" name="Is Cyclic In Fast Task"/>
    <tableColumn id="4" xr3:uid="{5AFA2315-789A-4D54-A135-BE8C1926AABB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FBB99C4-94A6-4E7C-92D0-3D6EC6AEB812}" name="AppSns_Unities" displayName="AppSns_Unities" ref="O24:P33" totalsRowShown="0">
  <autoFilter ref="O24:P33" xr:uid="{7FBB99C4-94A6-4E7C-92D0-3D6EC6AEB812}"/>
  <tableColumns count="2">
    <tableColumn id="1" xr3:uid="{7D82E1F5-2A52-4267-8153-BA431CD03AB8}" name="Sensors_Unity_List"/>
    <tableColumn id="2" xr3:uid="{89B9729F-175A-45F5-B9D0-85018F8271EB}" name="Descrip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8D7D2-A505-4B52-A24A-A2A4C815B9FC}" name="AppSns_SnsInterface" displayName="AppSns_SnsInterface" ref="B4:K5" insertRow="1" totalsRowShown="0">
  <autoFilter ref="B4:K5" xr:uid="{3648D7D2-A505-4B52-A24A-A2A4C815B9FC}"/>
  <tableColumns count="10">
    <tableColumn id="2" xr3:uid="{48AF9270-229B-4822-BF0E-E04D3AE78CDA}" name="Sensors_Device Name (In Code)"/>
    <tableColumn id="1" xr3:uid="{64B4E375-CA56-4CDC-B4E9-12F46D808E7B}" name="Interface ( the capteur value from your sensors)"/>
    <tableColumn id="4" xr3:uid="{ED8CCFEE-CF44-4C12-B650-37AE0CCF3801}" name="Sensors_unity"/>
    <tableColumn id="6" xr3:uid="{FD0BE121-4DAA-43C3-9986-5A90772D36E4}" name="Debug Signal">
      <calculatedColumnFormula>"SNS_"&amp;AppSns_SnsInterface[[#This Row],[Sensors_Device Name (In Code)]]&amp;"_"&amp;AppSns_SnsInterface[[#This Row],[Interface ( the capteur value from your sensors)]]</calculatedColumnFormula>
    </tableColumn>
    <tableColumn id="5" xr3:uid="{8D6D39B7-8BC7-4842-8C25-8E17B4DA635B}" name="Colonne1"/>
    <tableColumn id="10" xr3:uid="{946584D8-29C9-4D24-A836-6A6FCE1EB711}" name="Colonne14"/>
    <tableColumn id="9" xr3:uid="{EE4C1836-B3AF-4F34-A53F-DA95B482B5D3}" name="Colonne13"/>
    <tableColumn id="8" xr3:uid="{27FF8B1B-CE55-457F-9456-B385C4F0DBA0}" name="Colonne12"/>
    <tableColumn id="7" xr3:uid="{1055A201-2C9A-40BE-94F5-7F6A0D0470C4}" name="Colonne2"/>
    <tableColumn id="3" xr3:uid="{9C2A511C-B490-4FFA-B4DF-2E63E2CDF916}" name="Descritp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57EF862-8343-44BD-B854-DEB888A8D90A}" name="AppAct_ActInterface" displayName="AppAct_ActInterface" ref="B5:G6" insertRow="1" totalsRowShown="0">
  <autoFilter ref="B5:G6" xr:uid="{057EF862-8343-44BD-B854-DEB888A8D90A}"/>
  <tableColumns count="6">
    <tableColumn id="2" xr3:uid="{525C2716-4FDC-407B-BD9E-46F19F708AD0}" name="Actuator_Device Name"/>
    <tableColumn id="1" xr3:uid="{56166835-AB10-4D85-863D-F20827BA3D2B}" name="Actuator Interface Name"/>
    <tableColumn id="5" xr3:uid="{987604B8-C640-4730-B782-8FD7538A4812}" name="Set Debug Signal">
      <calculatedColumnFormula>"ACT_SET_"&amp;AppAct_ActInterface[[#This Row],[Actuator_Device Name]]&amp;"_"&amp;AppAct_ActInterface[[#This Row],[Actuator Interface Name]]</calculatedColumnFormula>
    </tableColumn>
    <tableColumn id="4" xr3:uid="{1810C9C5-A180-47AC-AACA-C95B6DDFC13C}" name="Get Debug Signal">
      <calculatedColumnFormula>"ACT_GET_"&amp;AppAct_ActInterface[[#This Row],[Actuator_Device Name]]&amp;"_"&amp;AppAct_ActInterface[[#This Row],[Actuator Interface Name]]</calculatedColumnFormula>
    </tableColumn>
    <tableColumn id="6" xr3:uid="{95B158F1-016B-4E39-AFBB-7778F9CC5250}" name="Ctrl Debug Signal">
      <calculatedColumnFormula>"ACT_CTRL_"&amp;AppAct_ActInterface[[#This Row],[Actuator_Device Name]]&amp;"_"&amp;AppAct_ActInterface[[#This Row],[Actuator Interface Name]]</calculatedColumnFormula>
    </tableColumn>
    <tableColumn id="3" xr3:uid="{5C627291-C07D-4E3B-B344-35CED2011E95}" name="Description 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4FB93FF-1D54-41FE-B00A-F0681630B209}" name="AppAct_DriverList" displayName="AppAct_DriverList" ref="B12:F13" totalsRowShown="0">
  <autoFilter ref="B12:F13" xr:uid="{64FB93FF-1D54-41FE-B00A-F0681630B209}"/>
  <tableColumns count="5">
    <tableColumn id="1" xr3:uid="{76681DD9-7A1E-437D-B3D2-9AC818DD0BA9}" name="Drv_Actuator_Name (In Code)"/>
    <tableColumn id="2" xr3:uid="{58F7D0F6-FCCB-41E5-AA1E-A01B0666EEA5}" name="Is there Driv_Init_Function ?"/>
    <tableColumn id="3" xr3:uid="{C7CC395B-2F6E-4154-9AC9-2E14605E07C0}" name="Is there Drv_Cyclic_Function?"/>
    <tableColumn id="4" xr3:uid="{775A8568-BAEE-4892-9D9C-556D81A776AE}" name="Cyclic In Fast Task"/>
    <tableColumn id="5" xr3:uid="{166DA979-66B4-42DD-A41C-B62EC0FF6E6A}" name="Desrcipt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6BE153-EE71-44BE-A664-AB2F72688E93}" name="AppSpm_PrmInfo" displayName="AppSpm_PrmInfo" ref="C4:P9" totalsRowShown="0" headerRowDxfId="19" headerRowBorderDxfId="18" tableBorderDxfId="17" totalsRowBorderDxfId="16">
  <autoFilter ref="C4:P9" xr:uid="{E16BE153-EE71-44BE-A664-AB2F72688E93}"/>
  <tableColumns count="14">
    <tableColumn id="1" xr3:uid="{C77B861F-AE6E-4C51-9CC8-C35D00F31975}" name="Id" dataDxfId="15"/>
    <tableColumn id="2" xr3:uid="{5484A98B-A5E1-4185-BB36-CADB6D2B53E0}" name="NOM_SOFTWARE" dataDxfId="14"/>
    <tableColumn id="3" xr3:uid="{227B833F-8742-4BED-9574-26EE17E33D5F}" name="VERSION" dataDxfId="10"/>
    <tableColumn id="16" xr3:uid="{6F9C3653-A34B-4D51-BD35-6BBFA1B159E6}" name="Access"/>
    <tableColumn id="4" xr3:uid="{175D00CD-67B6-41AE-838F-B8928D129E24}" name="MIN (float)" dataDxfId="9"/>
    <tableColumn id="5" xr3:uid="{6627AC55-B142-40BA-9BED-F35D71CCBD93}" name="MAX (float)" dataDxfId="8"/>
    <tableColumn id="6" xr3:uid="{D83E2867-BC86-4A9B-A8A0-F101E293A7D5}" name="DEFAULT (float) , conversion not apply" dataDxfId="7"/>
    <tableColumn id="7" xr3:uid="{AF65E2B8-ACA8-47A2-A483-5BE6A506FF03}" name="Ctypes" dataDxfId="6"/>
    <tableColumn id="13" xr3:uid="{0BC2A041-9ECA-440B-A515-01F0E7E8F696}" name="Size" dataDxfId="5"/>
    <tableColumn id="8" xr3:uid="{F07AAC94-46ED-4B74-8FB2-628BD2260C4A}" name="Factor (float)" dataDxfId="1"/>
    <tableColumn id="9" xr3:uid="{049B73F1-7644-4438-8C39-0A465B9F9128}" name="Offset  (sint16)" dataDxfId="3"/>
    <tableColumn id="10" xr3:uid="{A91B6DE3-10BB-49CF-97F1-7BC950FE1AC2}" name="Signal ID (from APPSIG)" dataDxfId="2"/>
    <tableColumn id="12" xr3:uid="{7269C417-28E0-4993-8CD4-48EAE09A8C2C}" name="Object Id (from NVM)" dataDxfId="0"/>
    <tableColumn id="11" xr3:uid="{7B4E85E8-B8C3-494C-AF0A-DF61C3FE26F4}" name="Description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B21:K35" totalsRowShown="0">
  <autoFilter ref="B21:K35" xr:uid="{B1473292-4F3B-4CB8-B395-514270FECF8E}"/>
  <tableColumns count="10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Cnt"/>
    <tableColumn id="11" xr3:uid="{9AF35E69-18F6-4C4B-BEE9-9119286C3E87}" name="Stay Active Ms if no new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I17" totalsRowShown="0">
  <autoFilter ref="F16:I17" xr:uid="{7F3EE644-AA5B-46B2-BCAD-DC36BC874E21}"/>
  <tableColumns count="4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  <tableColumn id="4" xr3:uid="{CFEE4184-7DC4-4077-BCE4-9351A82BBE37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C5:H26"/>
  <sheetViews>
    <sheetView zoomScale="115" zoomScaleNormal="115" workbookViewId="0">
      <selection activeCell="F23" sqref="F23"/>
    </sheetView>
  </sheetViews>
  <sheetFormatPr baseColWidth="10" defaultRowHeight="14.5" x14ac:dyDescent="0.35"/>
  <cols>
    <col min="3" max="3" width="17.6328125" customWidth="1"/>
    <col min="4" max="4" width="23.1796875" customWidth="1"/>
    <col min="8" max="8" width="18.36328125" bestFit="1" customWidth="1"/>
  </cols>
  <sheetData>
    <row r="5" spans="3:8" x14ac:dyDescent="0.35">
      <c r="C5" t="s">
        <v>60</v>
      </c>
      <c r="D5" t="s">
        <v>62</v>
      </c>
      <c r="G5" t="s">
        <v>94</v>
      </c>
      <c r="H5" t="s">
        <v>6</v>
      </c>
    </row>
    <row r="6" spans="3:8" x14ac:dyDescent="0.35">
      <c r="C6" s="1" t="s">
        <v>61</v>
      </c>
      <c r="D6" s="1" t="s">
        <v>63</v>
      </c>
      <c r="G6" t="s">
        <v>95</v>
      </c>
      <c r="H6" t="s">
        <v>96</v>
      </c>
    </row>
    <row r="17" spans="3:5" x14ac:dyDescent="0.35">
      <c r="C17" s="2" t="s">
        <v>97</v>
      </c>
    </row>
    <row r="18" spans="3:5" x14ac:dyDescent="0.35">
      <c r="C18" s="4" t="s">
        <v>95</v>
      </c>
    </row>
    <row r="25" spans="3:5" x14ac:dyDescent="0.35">
      <c r="C25" s="2" t="s">
        <v>98</v>
      </c>
      <c r="D25" s="3" t="s">
        <v>99</v>
      </c>
      <c r="E25" s="5" t="s">
        <v>100</v>
      </c>
    </row>
    <row r="26" spans="3:5" x14ac:dyDescent="0.35">
      <c r="C26" s="4"/>
      <c r="D26" s="6"/>
      <c r="E26" s="8"/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R33"/>
  <sheetViews>
    <sheetView zoomScale="55" zoomScaleNormal="55" workbookViewId="0">
      <selection activeCell="I29" sqref="I29"/>
    </sheetView>
  </sheetViews>
  <sheetFormatPr baseColWidth="10" defaultRowHeight="14.5" x14ac:dyDescent="0.35"/>
  <cols>
    <col min="2" max="2" width="31" customWidth="1"/>
    <col min="3" max="3" width="45.6328125" customWidth="1"/>
    <col min="4" max="4" width="41.90625" customWidth="1"/>
    <col min="5" max="5" width="60.54296875" customWidth="1"/>
    <col min="6" max="6" width="42" customWidth="1"/>
    <col min="9" max="9" width="21.08984375" customWidth="1"/>
    <col min="10" max="10" width="62.08984375" customWidth="1"/>
  </cols>
  <sheetData>
    <row r="3" spans="2:18" x14ac:dyDescent="0.35">
      <c r="B3" t="s">
        <v>101</v>
      </c>
    </row>
    <row r="4" spans="2:18" x14ac:dyDescent="0.35">
      <c r="B4" t="s">
        <v>102</v>
      </c>
      <c r="C4" t="s">
        <v>103</v>
      </c>
      <c r="D4" t="s">
        <v>2</v>
      </c>
      <c r="E4" t="s">
        <v>104</v>
      </c>
      <c r="F4" t="s">
        <v>105</v>
      </c>
      <c r="G4" t="s">
        <v>106</v>
      </c>
      <c r="H4" t="s">
        <v>107</v>
      </c>
      <c r="I4" t="s">
        <v>108</v>
      </c>
      <c r="J4" t="s">
        <v>109</v>
      </c>
      <c r="K4" t="s">
        <v>0</v>
      </c>
    </row>
    <row r="5" spans="2:18" x14ac:dyDescent="0.35">
      <c r="I5" s="6"/>
      <c r="J5" s="7"/>
    </row>
    <row r="10" spans="2:18" x14ac:dyDescent="0.35">
      <c r="F10" s="4"/>
    </row>
    <row r="13" spans="2:18" x14ac:dyDescent="0.35">
      <c r="O13" t="s">
        <v>110</v>
      </c>
    </row>
    <row r="14" spans="2:18" x14ac:dyDescent="0.35">
      <c r="G14" t="s">
        <v>105</v>
      </c>
      <c r="H14" t="s">
        <v>109</v>
      </c>
      <c r="I14" t="s">
        <v>4</v>
      </c>
      <c r="J14" t="s">
        <v>113</v>
      </c>
      <c r="K14" t="s">
        <v>6</v>
      </c>
      <c r="O14" t="s">
        <v>112</v>
      </c>
      <c r="Q14" t="s">
        <v>10</v>
      </c>
      <c r="R14" t="s">
        <v>9</v>
      </c>
    </row>
    <row r="16" spans="2:18" x14ac:dyDescent="0.35">
      <c r="Q16" t="s">
        <v>19</v>
      </c>
      <c r="R16" t="s">
        <v>20</v>
      </c>
    </row>
    <row r="24" spans="15:16" x14ac:dyDescent="0.35">
      <c r="O24" t="s">
        <v>5</v>
      </c>
      <c r="P24" t="s">
        <v>6</v>
      </c>
    </row>
    <row r="25" spans="15:16" x14ac:dyDescent="0.35">
      <c r="O25" t="s">
        <v>7</v>
      </c>
      <c r="P25" t="s">
        <v>8</v>
      </c>
    </row>
    <row r="26" spans="15:16" x14ac:dyDescent="0.35">
      <c r="O26" t="s">
        <v>24</v>
      </c>
      <c r="P26" t="s">
        <v>11</v>
      </c>
    </row>
    <row r="27" spans="15:16" x14ac:dyDescent="0.35">
      <c r="O27" t="s">
        <v>25</v>
      </c>
      <c r="P27" t="s">
        <v>12</v>
      </c>
    </row>
    <row r="28" spans="15:16" x14ac:dyDescent="0.35">
      <c r="O28" t="s">
        <v>26</v>
      </c>
      <c r="P28" t="s">
        <v>13</v>
      </c>
    </row>
    <row r="29" spans="15:16" x14ac:dyDescent="0.35">
      <c r="O29" t="s">
        <v>27</v>
      </c>
      <c r="P29" t="s">
        <v>14</v>
      </c>
    </row>
    <row r="30" spans="15:16" x14ac:dyDescent="0.35">
      <c r="O30" t="s">
        <v>28</v>
      </c>
      <c r="P30" t="s">
        <v>15</v>
      </c>
    </row>
    <row r="31" spans="15:16" x14ac:dyDescent="0.35">
      <c r="O31" t="s">
        <v>29</v>
      </c>
      <c r="P31" t="s">
        <v>16</v>
      </c>
    </row>
    <row r="32" spans="15:16" x14ac:dyDescent="0.35">
      <c r="O32" t="s">
        <v>30</v>
      </c>
      <c r="P32" t="s">
        <v>17</v>
      </c>
    </row>
    <row r="33" spans="15:16" x14ac:dyDescent="0.35">
      <c r="O33" t="s">
        <v>31</v>
      </c>
      <c r="P33" t="s">
        <v>18</v>
      </c>
    </row>
  </sheetData>
  <phoneticPr fontId="1" type="noConversion"/>
  <dataValidations count="1">
    <dataValidation type="list" allowBlank="1" showInputMessage="1" showErrorMessage="1" sqref="D5" xr:uid="{303FB8C7-53C9-425B-BCDF-06E59D159813}">
      <formula1>$O$35:$O$43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3:K13"/>
  <sheetViews>
    <sheetView zoomScale="110" workbookViewId="0">
      <selection activeCell="C22" sqref="C22"/>
    </sheetView>
  </sheetViews>
  <sheetFormatPr baseColWidth="10" defaultRowHeight="14.5" x14ac:dyDescent="0.35"/>
  <cols>
    <col min="2" max="2" width="46.90625" customWidth="1"/>
    <col min="3" max="3" width="25.1796875" customWidth="1"/>
    <col min="4" max="4" width="49.81640625" customWidth="1"/>
    <col min="5" max="5" width="35.90625" customWidth="1"/>
    <col min="6" max="6" width="31.6328125" customWidth="1"/>
    <col min="10" max="10" width="28.08984375" customWidth="1"/>
  </cols>
  <sheetData>
    <row r="3" spans="2:11" x14ac:dyDescent="0.35">
      <c r="E3" t="str">
        <f>B6&amp;"_"&amp;C6</f>
        <v>_</v>
      </c>
    </row>
    <row r="5" spans="2:11" x14ac:dyDescent="0.35">
      <c r="B5" t="s">
        <v>114</v>
      </c>
      <c r="C5" t="s">
        <v>115</v>
      </c>
      <c r="D5" t="s">
        <v>116</v>
      </c>
      <c r="E5" t="s">
        <v>117</v>
      </c>
      <c r="F5" t="s">
        <v>118</v>
      </c>
      <c r="G5" t="s">
        <v>1</v>
      </c>
      <c r="J5" t="s">
        <v>19</v>
      </c>
      <c r="K5" t="s">
        <v>20</v>
      </c>
    </row>
    <row r="7" spans="2:11" x14ac:dyDescent="0.35">
      <c r="J7" t="s">
        <v>23</v>
      </c>
      <c r="K7" t="s">
        <v>9</v>
      </c>
    </row>
    <row r="12" spans="2:11" x14ac:dyDescent="0.35">
      <c r="B12" t="s">
        <v>21</v>
      </c>
      <c r="C12" t="s">
        <v>3</v>
      </c>
      <c r="D12" t="s">
        <v>4</v>
      </c>
      <c r="E12" t="s">
        <v>119</v>
      </c>
      <c r="F12" t="s">
        <v>22</v>
      </c>
    </row>
    <row r="13" spans="2:11" x14ac:dyDescent="0.35">
      <c r="B13" t="s">
        <v>120</v>
      </c>
      <c r="C13" t="s">
        <v>9</v>
      </c>
      <c r="D13" t="s">
        <v>9</v>
      </c>
      <c r="E13" t="s">
        <v>9</v>
      </c>
      <c r="F13" t="s">
        <v>121</v>
      </c>
    </row>
  </sheetData>
  <dataValidations count="1">
    <dataValidation type="list" allowBlank="1" showInputMessage="1" showErrorMessage="1" sqref="C13:E13" xr:uid="{A40DB38B-E721-4CF9-9260-AA15E45C29A0}">
      <formula1>$J$7:$K$7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BD81F-7C57-4FDF-AF75-4156CD35AB44}">
  <dimension ref="C4:P9"/>
  <sheetViews>
    <sheetView tabSelected="1" topLeftCell="D1" zoomScale="85" zoomScaleNormal="85" workbookViewId="0">
      <selection activeCell="H16" sqref="H16"/>
    </sheetView>
  </sheetViews>
  <sheetFormatPr baseColWidth="10" defaultRowHeight="14.5" x14ac:dyDescent="0.35"/>
  <cols>
    <col min="4" max="4" width="38.453125" customWidth="1"/>
    <col min="5" max="5" width="14.90625" bestFit="1" customWidth="1"/>
    <col min="6" max="6" width="11.54296875" customWidth="1"/>
    <col min="7" max="7" width="11.90625" customWidth="1"/>
    <col min="8" max="8" width="34.26953125" customWidth="1"/>
    <col min="10" max="10" width="19.54296875" bestFit="1" customWidth="1"/>
    <col min="11" max="11" width="15.08984375" customWidth="1"/>
    <col min="12" max="12" width="22.26953125" customWidth="1"/>
    <col min="13" max="13" width="20.453125" bestFit="1" customWidth="1"/>
    <col min="14" max="14" width="24.90625" bestFit="1" customWidth="1"/>
    <col min="15" max="15" width="16.26953125" bestFit="1" customWidth="1"/>
    <col min="16" max="16" width="16.6328125" bestFit="1" customWidth="1"/>
  </cols>
  <sheetData>
    <row r="4" spans="3:16" x14ac:dyDescent="0.35">
      <c r="C4" s="11" t="s">
        <v>65</v>
      </c>
      <c r="D4" s="11" t="s">
        <v>66</v>
      </c>
      <c r="E4" s="11" t="s">
        <v>67</v>
      </c>
      <c r="F4" s="11" t="s">
        <v>143</v>
      </c>
      <c r="G4" s="11" t="s">
        <v>122</v>
      </c>
      <c r="H4" s="11" t="s">
        <v>123</v>
      </c>
      <c r="I4" s="11" t="s">
        <v>124</v>
      </c>
      <c r="J4" s="11" t="s">
        <v>139</v>
      </c>
      <c r="K4" s="11" t="s">
        <v>138</v>
      </c>
      <c r="L4" s="11" t="s">
        <v>125</v>
      </c>
      <c r="M4" s="11" t="s">
        <v>126</v>
      </c>
      <c r="N4" s="11" t="s">
        <v>127</v>
      </c>
      <c r="O4" s="11" t="s">
        <v>132</v>
      </c>
      <c r="P4" s="11" t="s">
        <v>6</v>
      </c>
    </row>
    <row r="5" spans="3:16" x14ac:dyDescent="0.35">
      <c r="C5" s="9">
        <v>0</v>
      </c>
      <c r="D5" s="10" t="s">
        <v>131</v>
      </c>
      <c r="E5" s="12">
        <v>1</v>
      </c>
      <c r="F5" s="12" t="s">
        <v>144</v>
      </c>
      <c r="G5" s="15">
        <v>0</v>
      </c>
      <c r="H5" s="15">
        <v>65535</v>
      </c>
      <c r="I5" s="15">
        <v>1</v>
      </c>
      <c r="J5" s="15" t="s">
        <v>140</v>
      </c>
      <c r="K5" s="15">
        <v>2</v>
      </c>
      <c r="L5" s="15" t="s">
        <v>111</v>
      </c>
      <c r="M5" s="15">
        <v>0</v>
      </c>
      <c r="N5" s="15"/>
      <c r="O5" t="s">
        <v>136</v>
      </c>
      <c r="P5" s="10" t="s">
        <v>137</v>
      </c>
    </row>
    <row r="6" spans="3:16" x14ac:dyDescent="0.35">
      <c r="C6" s="9">
        <f>1+C5</f>
        <v>1</v>
      </c>
      <c r="D6" t="s">
        <v>133</v>
      </c>
      <c r="E6" s="12">
        <v>1</v>
      </c>
      <c r="F6" s="12" t="s">
        <v>144</v>
      </c>
      <c r="G6" s="15"/>
      <c r="H6" s="15"/>
      <c r="I6" s="15"/>
      <c r="J6" s="15" t="s">
        <v>141</v>
      </c>
      <c r="K6" s="15">
        <v>4</v>
      </c>
      <c r="L6" s="15"/>
      <c r="M6" s="15"/>
      <c r="N6" s="15"/>
      <c r="O6" t="s">
        <v>133</v>
      </c>
      <c r="P6" s="10"/>
    </row>
    <row r="7" spans="3:16" x14ac:dyDescent="0.35">
      <c r="C7" s="9">
        <f t="shared" ref="C7:C8" si="0">1+C6</f>
        <v>2</v>
      </c>
      <c r="D7" t="s">
        <v>134</v>
      </c>
      <c r="E7" s="12">
        <v>1</v>
      </c>
      <c r="F7" s="12" t="s">
        <v>146</v>
      </c>
      <c r="G7" s="15">
        <v>0</v>
      </c>
      <c r="H7" s="15">
        <v>65535</v>
      </c>
      <c r="I7" s="15">
        <v>1</v>
      </c>
      <c r="J7" s="15" t="s">
        <v>140</v>
      </c>
      <c r="K7" s="15">
        <v>2</v>
      </c>
      <c r="L7" s="15" t="s">
        <v>111</v>
      </c>
      <c r="M7" s="15">
        <v>0</v>
      </c>
      <c r="N7" s="15"/>
      <c r="O7" t="s">
        <v>134</v>
      </c>
      <c r="P7" s="10"/>
    </row>
    <row r="8" spans="3:16" x14ac:dyDescent="0.35">
      <c r="C8" s="9">
        <f t="shared" si="0"/>
        <v>3</v>
      </c>
      <c r="D8" t="s">
        <v>142</v>
      </c>
      <c r="E8" s="13">
        <v>1</v>
      </c>
      <c r="F8" s="13" t="s">
        <v>145</v>
      </c>
      <c r="G8" s="15">
        <v>0</v>
      </c>
      <c r="H8" s="15">
        <v>65535</v>
      </c>
      <c r="I8" s="16">
        <v>1</v>
      </c>
      <c r="J8" s="15" t="s">
        <v>140</v>
      </c>
      <c r="K8" s="16">
        <v>2</v>
      </c>
      <c r="L8" s="15" t="s">
        <v>111</v>
      </c>
      <c r="M8" s="15">
        <v>0</v>
      </c>
      <c r="N8" s="16"/>
      <c r="O8" t="s">
        <v>135</v>
      </c>
      <c r="P8" s="14"/>
    </row>
    <row r="9" spans="3:16" x14ac:dyDescent="0.35">
      <c r="C9" s="9">
        <v>4</v>
      </c>
      <c r="D9" s="10" t="s">
        <v>147</v>
      </c>
      <c r="E9" s="12">
        <v>1</v>
      </c>
      <c r="F9" t="s">
        <v>145</v>
      </c>
      <c r="G9" s="15"/>
      <c r="H9" s="15"/>
      <c r="I9" s="15"/>
      <c r="J9" s="15" t="s">
        <v>148</v>
      </c>
      <c r="K9" s="15">
        <v>20</v>
      </c>
      <c r="L9" s="15" t="s">
        <v>111</v>
      </c>
      <c r="M9" s="15">
        <v>0</v>
      </c>
      <c r="N9" s="15"/>
      <c r="O9" t="s">
        <v>147</v>
      </c>
      <c r="P9" s="1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B21:K35"/>
  <sheetViews>
    <sheetView topLeftCell="A15" zoomScale="117" workbookViewId="0">
      <pane xSplit="3" ySplit="7" topLeftCell="D22" activePane="bottomRight" state="frozen"/>
      <selection activeCell="A15" sqref="A15"/>
      <selection pane="topRight" activeCell="D15" sqref="D15"/>
      <selection pane="bottomLeft" activeCell="A22" sqref="A22"/>
      <selection pane="bottomRight" activeCell="H34" sqref="H34"/>
    </sheetView>
  </sheetViews>
  <sheetFormatPr baseColWidth="10" defaultRowHeight="14.5" x14ac:dyDescent="0.35"/>
  <cols>
    <col min="3" max="3" width="50.90625" customWidth="1"/>
    <col min="4" max="4" width="13.1796875" customWidth="1"/>
    <col min="5" max="5" width="38.81640625" customWidth="1"/>
    <col min="7" max="7" width="9.36328125" customWidth="1"/>
    <col min="8" max="8" width="67.08984375" customWidth="1"/>
    <col min="9" max="9" width="69.36328125" customWidth="1"/>
    <col min="10" max="10" width="46.453125" customWidth="1"/>
    <col min="11" max="11" width="19.6328125" customWidth="1"/>
    <col min="12" max="12" width="22.36328125" customWidth="1"/>
    <col min="13" max="13" width="21.6328125" customWidth="1"/>
    <col min="14" max="14" width="25.90625" customWidth="1"/>
    <col min="15" max="15" width="41.453125" customWidth="1"/>
    <col min="16" max="16" width="32.81640625" customWidth="1"/>
    <col min="17" max="17" width="39.81640625" customWidth="1"/>
  </cols>
  <sheetData>
    <row r="21" spans="2:11" x14ac:dyDescent="0.35">
      <c r="B21" t="s">
        <v>42</v>
      </c>
      <c r="C21" t="s">
        <v>35</v>
      </c>
      <c r="D21" t="s">
        <v>88</v>
      </c>
      <c r="E21" t="s">
        <v>89</v>
      </c>
      <c r="F21" t="s">
        <v>36</v>
      </c>
      <c r="G21" t="s">
        <v>37</v>
      </c>
      <c r="H21" t="s">
        <v>38</v>
      </c>
      <c r="I21" t="s">
        <v>39</v>
      </c>
      <c r="J21" t="s">
        <v>40</v>
      </c>
      <c r="K21" t="s">
        <v>41</v>
      </c>
    </row>
    <row r="22" spans="2:11" x14ac:dyDescent="0.35">
      <c r="B22">
        <v>0</v>
      </c>
      <c r="C22" t="s">
        <v>52</v>
      </c>
      <c r="D22">
        <v>0</v>
      </c>
      <c r="F22" t="s">
        <v>32</v>
      </c>
      <c r="G22" t="s">
        <v>32</v>
      </c>
      <c r="I22" t="s">
        <v>53</v>
      </c>
      <c r="J22" t="s">
        <v>72</v>
      </c>
    </row>
    <row r="23" spans="2:11" x14ac:dyDescent="0.35">
      <c r="B23">
        <f>1+B22</f>
        <v>1</v>
      </c>
      <c r="C23" t="s">
        <v>90</v>
      </c>
      <c r="D23">
        <v>20</v>
      </c>
      <c r="E23">
        <v>3000</v>
      </c>
      <c r="F23" t="s">
        <v>32</v>
      </c>
      <c r="G23" t="s">
        <v>32</v>
      </c>
      <c r="I23" t="s">
        <v>91</v>
      </c>
    </row>
    <row r="24" spans="2:11" x14ac:dyDescent="0.35">
      <c r="B24">
        <f t="shared" ref="B24:B35" si="0">1+B23</f>
        <v>2</v>
      </c>
      <c r="C24" t="s">
        <v>92</v>
      </c>
      <c r="D24">
        <v>20</v>
      </c>
      <c r="E24">
        <v>3000</v>
      </c>
      <c r="F24" t="s">
        <v>32</v>
      </c>
      <c r="G24" t="s">
        <v>32</v>
      </c>
      <c r="I24" t="s">
        <v>93</v>
      </c>
    </row>
    <row r="25" spans="2:11" x14ac:dyDescent="0.35">
      <c r="B25">
        <f t="shared" si="0"/>
        <v>3</v>
      </c>
      <c r="C25" t="s">
        <v>73</v>
      </c>
      <c r="D25">
        <v>5</v>
      </c>
      <c r="E25">
        <v>5000</v>
      </c>
      <c r="F25" t="s">
        <v>32</v>
      </c>
      <c r="G25" t="s">
        <v>32</v>
      </c>
      <c r="I25" t="s">
        <v>78</v>
      </c>
      <c r="J25" t="s">
        <v>83</v>
      </c>
    </row>
    <row r="26" spans="2:11" x14ac:dyDescent="0.35">
      <c r="B26">
        <f t="shared" si="0"/>
        <v>4</v>
      </c>
      <c r="C26" t="s">
        <v>74</v>
      </c>
      <c r="D26">
        <v>5</v>
      </c>
      <c r="E26">
        <v>5000</v>
      </c>
      <c r="F26" t="s">
        <v>32</v>
      </c>
      <c r="G26" t="s">
        <v>32</v>
      </c>
      <c r="I26" t="s">
        <v>53</v>
      </c>
      <c r="J26" t="s">
        <v>82</v>
      </c>
    </row>
    <row r="27" spans="2:11" x14ac:dyDescent="0.35">
      <c r="B27">
        <f t="shared" si="0"/>
        <v>5</v>
      </c>
      <c r="C27" t="s">
        <v>75</v>
      </c>
      <c r="D27">
        <v>5</v>
      </c>
      <c r="E27">
        <v>5000</v>
      </c>
      <c r="F27" t="s">
        <v>32</v>
      </c>
      <c r="G27" t="s">
        <v>32</v>
      </c>
      <c r="I27" t="s">
        <v>80</v>
      </c>
      <c r="J27" t="s">
        <v>81</v>
      </c>
    </row>
    <row r="28" spans="2:11" x14ac:dyDescent="0.35">
      <c r="B28">
        <f t="shared" si="0"/>
        <v>6</v>
      </c>
      <c r="C28" t="s">
        <v>76</v>
      </c>
      <c r="D28">
        <v>5</v>
      </c>
      <c r="E28">
        <v>5000</v>
      </c>
      <c r="F28" t="s">
        <v>32</v>
      </c>
      <c r="G28" t="s">
        <v>32</v>
      </c>
      <c r="I28" t="s">
        <v>53</v>
      </c>
      <c r="J28" t="s">
        <v>71</v>
      </c>
    </row>
    <row r="29" spans="2:11" x14ac:dyDescent="0.35">
      <c r="B29">
        <f t="shared" si="0"/>
        <v>7</v>
      </c>
      <c r="C29" t="s">
        <v>85</v>
      </c>
      <c r="D29">
        <v>5</v>
      </c>
      <c r="E29">
        <v>5000</v>
      </c>
      <c r="F29" t="s">
        <v>32</v>
      </c>
      <c r="G29" t="s">
        <v>32</v>
      </c>
      <c r="I29" t="s">
        <v>86</v>
      </c>
      <c r="J29" t="s">
        <v>87</v>
      </c>
    </row>
    <row r="30" spans="2:11" x14ac:dyDescent="0.35">
      <c r="B30">
        <f t="shared" si="0"/>
        <v>8</v>
      </c>
      <c r="C30" t="s">
        <v>77</v>
      </c>
      <c r="D30">
        <v>5</v>
      </c>
      <c r="E30">
        <v>5000</v>
      </c>
      <c r="F30" t="s">
        <v>32</v>
      </c>
      <c r="G30" t="s">
        <v>32</v>
      </c>
      <c r="I30" t="s">
        <v>79</v>
      </c>
      <c r="J30" t="s">
        <v>84</v>
      </c>
    </row>
    <row r="31" spans="2:11" x14ac:dyDescent="0.35">
      <c r="B31">
        <f t="shared" si="0"/>
        <v>9</v>
      </c>
      <c r="C31" t="s">
        <v>56</v>
      </c>
      <c r="D31">
        <v>5</v>
      </c>
      <c r="E31">
        <v>100</v>
      </c>
      <c r="F31" t="s">
        <v>33</v>
      </c>
      <c r="G31" t="s">
        <v>33</v>
      </c>
      <c r="I31" t="s">
        <v>54</v>
      </c>
      <c r="J31" t="s">
        <v>55</v>
      </c>
    </row>
    <row r="32" spans="2:11" x14ac:dyDescent="0.35">
      <c r="B32">
        <f t="shared" si="0"/>
        <v>10</v>
      </c>
      <c r="C32" t="s">
        <v>57</v>
      </c>
      <c r="D32">
        <v>5</v>
      </c>
      <c r="E32">
        <v>100</v>
      </c>
      <c r="F32" t="s">
        <v>33</v>
      </c>
      <c r="G32" t="s">
        <v>33</v>
      </c>
      <c r="I32" t="s">
        <v>54</v>
      </c>
      <c r="J32" t="s">
        <v>55</v>
      </c>
    </row>
    <row r="33" spans="2:10" x14ac:dyDescent="0.35">
      <c r="B33">
        <f t="shared" si="0"/>
        <v>11</v>
      </c>
      <c r="C33" t="s">
        <v>58</v>
      </c>
      <c r="D33">
        <v>5</v>
      </c>
      <c r="E33">
        <v>200</v>
      </c>
      <c r="F33" t="s">
        <v>33</v>
      </c>
      <c r="G33" t="s">
        <v>32</v>
      </c>
      <c r="I33" t="s">
        <v>59</v>
      </c>
    </row>
    <row r="34" spans="2:10" x14ac:dyDescent="0.35">
      <c r="B34">
        <f t="shared" si="0"/>
        <v>12</v>
      </c>
      <c r="C34" t="s">
        <v>129</v>
      </c>
      <c r="D34">
        <v>5</v>
      </c>
      <c r="E34">
        <v>65000</v>
      </c>
      <c r="F34" t="s">
        <v>33</v>
      </c>
      <c r="G34" t="s">
        <v>32</v>
      </c>
      <c r="I34" t="s">
        <v>130</v>
      </c>
    </row>
    <row r="35" spans="2:10" x14ac:dyDescent="0.35">
      <c r="B35">
        <f t="shared" si="0"/>
        <v>13</v>
      </c>
      <c r="C35" t="s">
        <v>68</v>
      </c>
      <c r="D35">
        <v>5</v>
      </c>
      <c r="E35">
        <v>100</v>
      </c>
      <c r="F35" t="s">
        <v>33</v>
      </c>
      <c r="G35" t="s">
        <v>32</v>
      </c>
      <c r="I35" t="s">
        <v>69</v>
      </c>
      <c r="J35" t="s">
        <v>70</v>
      </c>
    </row>
  </sheetData>
  <dataValidations count="1">
    <dataValidation type="list" allowBlank="1" showInputMessage="1" showErrorMessage="1" sqref="F22:G35" xr:uid="{3B1A8BBC-F0CD-414E-8D45-F8F963B90DC8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5" x14ac:dyDescent="0.35"/>
  <cols>
    <col min="2" max="2" width="31.54296875" customWidth="1"/>
    <col min="3" max="3" width="19.6328125" customWidth="1"/>
    <col min="4" max="4" width="48.90625" customWidth="1"/>
    <col min="5" max="5" width="29.90625" customWidth="1"/>
    <col min="6" max="6" width="39.54296875" customWidth="1"/>
    <col min="7" max="7" width="36.36328125" customWidth="1"/>
  </cols>
  <sheetData>
    <row r="7" spans="3:7" x14ac:dyDescent="0.35">
      <c r="C7" t="s">
        <v>44</v>
      </c>
      <c r="D7" t="s">
        <v>43</v>
      </c>
      <c r="E7" t="s">
        <v>49</v>
      </c>
      <c r="F7" t="s">
        <v>50</v>
      </c>
      <c r="G7" t="s">
        <v>51</v>
      </c>
    </row>
    <row r="18" spans="6:6" x14ac:dyDescent="0.35">
      <c r="F18" t="s">
        <v>34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I28"/>
  <sheetViews>
    <sheetView zoomScale="75" workbookViewId="0">
      <selection activeCell="F28" sqref="F28"/>
    </sheetView>
  </sheetViews>
  <sheetFormatPr baseColWidth="10" defaultRowHeight="14.5" x14ac:dyDescent="0.35"/>
  <cols>
    <col min="3" max="3" width="27.1796875" customWidth="1"/>
    <col min="4" max="4" width="28" customWidth="1"/>
    <col min="6" max="6" width="22.453125" customWidth="1"/>
    <col min="7" max="7" width="28.81640625" customWidth="1"/>
    <col min="8" max="8" width="32.6328125" customWidth="1"/>
    <col min="9" max="9" width="24.54296875" customWidth="1"/>
    <col min="10" max="10" width="38.36328125" customWidth="1"/>
    <col min="11" max="12" width="29.1796875" customWidth="1"/>
    <col min="13" max="13" width="19.6328125" customWidth="1"/>
    <col min="14" max="14" width="29.1796875" customWidth="1"/>
  </cols>
  <sheetData>
    <row r="5" spans="3:9" x14ac:dyDescent="0.35">
      <c r="C5" t="s">
        <v>45</v>
      </c>
      <c r="D5" t="s">
        <v>6</v>
      </c>
    </row>
    <row r="6" spans="3:9" x14ac:dyDescent="0.35">
      <c r="D6" t="s">
        <v>64</v>
      </c>
    </row>
    <row r="16" spans="3:9" x14ac:dyDescent="0.35">
      <c r="F16" t="s">
        <v>46</v>
      </c>
      <c r="G16" t="s">
        <v>47</v>
      </c>
      <c r="H16" t="s">
        <v>48</v>
      </c>
      <c r="I16" t="s">
        <v>6</v>
      </c>
    </row>
    <row r="28" spans="6:6" x14ac:dyDescent="0.35">
      <c r="F28" t="s">
        <v>128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General</vt:lpstr>
      <vt:lpstr>Sensors_Drivers</vt:lpstr>
      <vt:lpstr>Actuators_Drivers</vt:lpstr>
      <vt:lpstr>Parameters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(CIPA5 NANTES_2026)</cp:lastModifiedBy>
  <dcterms:created xsi:type="dcterms:W3CDTF">2024-03-11T17:08:10Z</dcterms:created>
  <dcterms:modified xsi:type="dcterms:W3CDTF">2026-08-07T15:22:58Z</dcterms:modified>
</cp:coreProperties>
</file>