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 xmlns:mc="http://schemas.openxmlformats.org/markup-compatibility/2006">
    <mc:Choice Requires="x15">
      <x15ac:absPath xmlns:x15ac="http://schemas.microsoft.com/office/spreadsheetml/2010/11/ac" url="D:\Project\Software\STM32\f_DesignLogic\Doc\ConfigPrj\ExcelCfg\"/>
    </mc:Choice>
  </mc:AlternateContent>
  <xr:revisionPtr revIDLastSave="0" documentId="13_ncr:1_{50FD33E9-1917-46A5-A298-45751EA4F82D}" xr6:coauthVersionLast="47" xr6:coauthVersionMax="47" xr10:uidLastSave="{00000000-0000-0000-0000-000000000000}"/>
  <bookViews>
    <workbookView xWindow="-108" yWindow="-108" windowWidth="23256" windowHeight="12456" activeTab="6" xr2:uid="{D0BA3158-A968-48A5-9590-611DD8CA9BD8}"/>
  </bookViews>
  <sheets>
    <sheet name="General" sheetId="1" r:id="rId1"/>
    <sheet name="Sensors_Drivers" sheetId="2" r:id="rId2"/>
    <sheet name="Actuators_Drivers" sheetId="3" r:id="rId3"/>
    <sheet name="Parameters" sheetId="7" r:id="rId4"/>
    <sheet name="DiagStrategy" sheetId="6" r:id="rId5"/>
    <sheet name="Diagnostic" sheetId="4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7" l="1"/>
  <c r="I24" i="4"/>
  <c r="I23" i="4"/>
</calcChain>
</file>

<file path=xl/sharedStrings.xml><?xml version="1.0" encoding="utf-8"?>
<sst xmlns="http://schemas.openxmlformats.org/spreadsheetml/2006/main" count="109" uniqueCount="86">
  <si>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</si>
  <si>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</si>
  <si>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</si>
  <si>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</si>
  <si>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</si>
  <si>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</si>
  <si>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</si>
  <si>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</si>
  <si>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</si>
  <si>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</si>
  <si>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</si>
  <si>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</si>
  <si>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</si>
  <si>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</si>
  <si>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</si>
  <si>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</si>
  <si>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</si>
  <si>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</si>
  <si>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</si>
  <si>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</si>
  <si>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</si>
  <si>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</si>
  <si>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</si>
  <si>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</si>
  <si>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</si>
  <si>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</si>
  <si>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</si>
  <si>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</si>
  <si>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</si>
  <si>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</si>
  <si>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</si>
  <si>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</si>
  <si>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</si>
  <si>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</si>
  <si>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</si>
  <si>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</si>
  <si>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</si>
  <si>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</si>
  <si>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</si>
  <si>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</si>
  <si>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</si>
  <si>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</si>
  <si>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DebuncerValuesMS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</si>
  <si>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</si>
  <si>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</si>
  <si>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</si>
  <si>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</si>
  <si>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</si>
  <si>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</si>
  <si>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</si>
  <si>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</si>
  <si>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</si>
  <si>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</si>
  <si>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</si>
  <si>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Srv 1</t>
  </si>
  <si>
    <t>Srv 2</t>
  </si>
  <si>
    <t>Srv 3</t>
  </si>
  <si>
    <t>FMK_CFG_ERROR</t>
  </si>
  <si>
    <t>Enum Module from t_eAppSys_ModuleList</t>
  </si>
  <si>
    <t xml:space="preserve">Line module </t>
  </si>
  <si>
    <t>FMK_OPE_ERROR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</si>
  <si>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</si>
  <si>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</si>
  <si>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</si>
  <si>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</si>
  <si>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</si>
  <si>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</si>
  <si>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Colonne4</t>
  </si>
  <si>
    <t>SoVersion</t>
  </si>
  <si>
    <t>SubSoVersion</t>
  </si>
  <si>
    <t>01</t>
  </si>
  <si>
    <t>ECU ID</t>
  </si>
  <si>
    <t>0x45689657</t>
  </si>
  <si>
    <t>x</t>
  </si>
  <si>
    <t>Gère la gestion du gantry</t>
  </si>
  <si>
    <t>Id</t>
  </si>
  <si>
    <t>NOM_SOFTWARE</t>
  </si>
  <si>
    <t>MIN</t>
  </si>
  <si>
    <t>MAX</t>
  </si>
  <si>
    <t>DEFAULT</t>
  </si>
  <si>
    <t>MOTOR_X_KP</t>
  </si>
  <si>
    <t>MOTOR_X_KI</t>
  </si>
  <si>
    <t>MOTOR_X_KD</t>
  </si>
  <si>
    <t>VERSION</t>
  </si>
  <si>
    <t>PROTOUT</t>
  </si>
  <si>
    <t>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</si>
</sst>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F6" totalsRowShown="0" dataDxfId="5">
  <autoFilter ref="C5:F6" xr:uid="{9E7D1695-41E1-4B3F-AF19-9C465D64B382}"/>
  <tableColumns count="4">
    <tableColumn id="1" xr3:uid="{D018933D-AFCC-4CCF-9485-3F5118AE0ABA}" name="SoVersion" dataDxfId="4"/>
    <tableColumn id="2" xr3:uid="{83F6082B-7FBF-4DF5-8C27-D489E6D27C97}" name="SubSoVersion" dataDxfId="3"/>
    <tableColumn id="3" xr3:uid="{6155E057-4AE4-4CC7-88F0-74C5D2AB6240}" name="ECU ID" dataDxfId="2"/>
    <tableColumn id="4" xr3:uid="{CB1FFF28-C244-406F-A603-39DAE81C519D}" name="Colonne4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I13:M14" totalsRowShown="0">
  <autoFilter ref="I13:M14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6" totalsRowShown="0">
  <autoFilter ref="B5:D6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F13:J14" insertRow="1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6FB401A-9B85-4726-A494-B67658AD2F23}" name="AppSpm_PrmInfo" displayName="AppSpm_PrmInfo" ref="C5:I8" totalsRowShown="0">
  <autoFilter ref="C5:I8" xr:uid="{A6FB401A-9B85-4726-A494-B67658AD2F23}"/>
  <tableColumns count="7">
    <tableColumn id="1" xr3:uid="{448BB497-E454-46C8-8957-3AAD9C45BE7B}" name="Id"/>
    <tableColumn id="2" xr3:uid="{0C20BA62-28CE-48FB-B267-D9DAF5F168DB}" name="NOM_SOFTWARE"/>
    <tableColumn id="7" xr3:uid="{7562A698-69A8-4A56-A13C-E3DCB3001DE8}" name="VERSION" dataDxfId="0"/>
    <tableColumn id="3" xr3:uid="{41B19A92-EB20-42ED-951F-E094ED136643}" name="MIN"/>
    <tableColumn id="4" xr3:uid="{06CC40FA-EEB5-4319-AD79-B390B078B611}" name="MAX"/>
    <tableColumn id="5" xr3:uid="{25F2569F-2DE8-4504-B133-3591E5173A9A}" name="DEFAULT"/>
    <tableColumn id="6" xr3:uid="{7EC00DFB-398D-4ED3-884A-232DE2D0D22E}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8" insertRow="1" totalsRowShown="0">
  <autoFilter ref="C7:G8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I21:Q26" totalsRowShown="0">
  <autoFilter ref="I21:Q26" xr:uid="{B1473292-4F3B-4CB8-B395-514270FECF8E}"/>
  <tableColumns count="9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ValuesM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G17" totalsRowShown="0">
  <autoFilter ref="F16:G17" xr:uid="{7F3EE644-AA5B-46B2-BCAD-DC36BC874E21}"/>
  <tableColumns count="2">
    <tableColumn id="1" xr3:uid="{AF4976B1-01AC-4B0A-A727-36D1488CCCE4}" name="SrvName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F9"/>
  <sheetViews>
    <sheetView topLeftCell="B2" zoomScale="149" workbookViewId="0">
      <selection activeCell="D6" sqref="D6"/>
    </sheetView>
  </sheetViews>
  <sheetFormatPr baseColWidth="10" defaultRowHeight="14.4" x14ac:dyDescent="0.3"/>
  <cols>
    <col min="3" max="3" width="17.6640625" customWidth="1"/>
    <col min="4" max="4" width="18.44140625" customWidth="1"/>
    <col min="5" max="5" width="23.21875" customWidth="1"/>
  </cols>
  <sheetData>
    <row r="5" spans="3:6" x14ac:dyDescent="0.3">
      <c r="C5" t="s">
        <v>68</v>
      </c>
      <c r="D5" t="s">
        <v>69</v>
      </c>
      <c r="E5" t="s">
        <v>71</v>
      </c>
      <c r="F5" t="s">
        <v>67</v>
      </c>
    </row>
    <row r="6" spans="3:6" x14ac:dyDescent="0.3">
      <c r="C6" s="1" t="s">
        <v>70</v>
      </c>
      <c r="D6" s="1" t="s">
        <v>70</v>
      </c>
      <c r="E6" s="1" t="s">
        <v>72</v>
      </c>
      <c r="F6" s="1"/>
    </row>
    <row r="9" spans="3:6" x14ac:dyDescent="0.3">
      <c r="D9" t="s">
        <v>73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zoomScale="98" workbookViewId="0">
      <selection activeCell="B4" sqref="B4:E4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13" x14ac:dyDescent="0.3">
      <c r="B3" t="s">
        <v>6</v>
      </c>
      <c r="C3" t="s">
        <v>2</v>
      </c>
      <c r="D3" t="s">
        <v>3</v>
      </c>
      <c r="E3" t="s">
        <v>0</v>
      </c>
    </row>
    <row r="13" spans="2:13" x14ac:dyDescent="0.3">
      <c r="I13" t="s">
        <v>7</v>
      </c>
      <c r="J13" t="s">
        <v>8</v>
      </c>
      <c r="K13" t="s">
        <v>9</v>
      </c>
      <c r="L13" t="s">
        <v>27</v>
      </c>
      <c r="M13" t="s">
        <v>11</v>
      </c>
    </row>
    <row r="22" spans="9:13" x14ac:dyDescent="0.3">
      <c r="I22" t="s">
        <v>10</v>
      </c>
      <c r="J22" t="s">
        <v>11</v>
      </c>
    </row>
    <row r="23" spans="9:13" x14ac:dyDescent="0.3">
      <c r="I23" t="s">
        <v>12</v>
      </c>
      <c r="J23" t="s">
        <v>13</v>
      </c>
    </row>
    <row r="24" spans="9:13" x14ac:dyDescent="0.3">
      <c r="I24" t="s">
        <v>30</v>
      </c>
      <c r="J24" t="s">
        <v>16</v>
      </c>
      <c r="L24" t="s">
        <v>15</v>
      </c>
      <c r="M24" t="s">
        <v>14</v>
      </c>
    </row>
    <row r="25" spans="9:13" x14ac:dyDescent="0.3">
      <c r="I25" t="s">
        <v>31</v>
      </c>
      <c r="J25" t="s">
        <v>17</v>
      </c>
    </row>
    <row r="26" spans="9:13" x14ac:dyDescent="0.3">
      <c r="I26" t="s">
        <v>32</v>
      </c>
      <c r="J26" t="s">
        <v>18</v>
      </c>
      <c r="L26" t="s">
        <v>24</v>
      </c>
      <c r="M26" t="s">
        <v>25</v>
      </c>
    </row>
    <row r="27" spans="9:13" x14ac:dyDescent="0.3">
      <c r="I27" t="s">
        <v>33</v>
      </c>
      <c r="J27" t="s">
        <v>19</v>
      </c>
    </row>
    <row r="28" spans="9:13" x14ac:dyDescent="0.3">
      <c r="I28" t="s">
        <v>34</v>
      </c>
      <c r="J28" t="s">
        <v>20</v>
      </c>
    </row>
    <row r="29" spans="9:13" x14ac:dyDescent="0.3">
      <c r="I29" t="s">
        <v>35</v>
      </c>
      <c r="J29" t="s">
        <v>21</v>
      </c>
    </row>
    <row r="30" spans="9:13" x14ac:dyDescent="0.3">
      <c r="I30" t="s">
        <v>36</v>
      </c>
      <c r="J30" t="s">
        <v>22</v>
      </c>
    </row>
    <row r="31" spans="9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J14:K14" xr:uid="{F7AAAA20-4A68-4C1A-9530-746FCEA6F7D1}">
      <formula1>$L$24:$M$24</formula1>
    </dataValidation>
    <dataValidation type="list" allowBlank="1" showInputMessage="1" showErrorMessage="1" sqref="L14 D4" xr:uid="{86A52F69-E6B0-40B6-81DA-7A19CEF27204}">
      <formula1>$L$26:$M$26</formula1>
    </dataValidation>
    <dataValidation type="list" allowBlank="1" showInputMessage="1" showErrorMessage="1" sqref="C4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3"/>
  <sheetViews>
    <sheetView zoomScale="110" workbookViewId="0">
      <selection activeCell="C7" sqref="C7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10" max="10" width="28.109375" customWidth="1"/>
  </cols>
  <sheetData>
    <row r="5" spans="2:10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7" spans="2:10" x14ac:dyDescent="0.3">
      <c r="G7" t="s">
        <v>29</v>
      </c>
      <c r="H7" t="s">
        <v>14</v>
      </c>
    </row>
    <row r="13" spans="2:10" x14ac:dyDescent="0.3">
      <c r="F13" t="s">
        <v>26</v>
      </c>
      <c r="G13" t="s">
        <v>8</v>
      </c>
      <c r="H13" t="s">
        <v>9</v>
      </c>
      <c r="I13" t="s">
        <v>27</v>
      </c>
      <c r="J13" t="s">
        <v>28</v>
      </c>
    </row>
  </sheetData>
  <dataValidations count="2">
    <dataValidation type="list" allowBlank="1" showInputMessage="1" showErrorMessage="1" sqref="I14 C6" xr:uid="{4D6C38CD-BED7-4767-A49E-EB9EFFEEBAEA}">
      <formula1>$G$5:$H$5</formula1>
    </dataValidation>
    <dataValidation type="list" allowBlank="1" showInputMessage="1" showErrorMessage="1" sqref="G14:H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5:I8"/>
  <sheetViews>
    <sheetView workbookViewId="0">
      <selection activeCell="E6" sqref="E6"/>
    </sheetView>
  </sheetViews>
  <sheetFormatPr baseColWidth="10" defaultRowHeight="14.4" x14ac:dyDescent="0.3"/>
  <cols>
    <col min="4" max="4" width="38.44140625" customWidth="1"/>
    <col min="5" max="5" width="14.88671875" bestFit="1" customWidth="1"/>
    <col min="8" max="8" width="20.5546875" customWidth="1"/>
  </cols>
  <sheetData>
    <row r="5" spans="3:9" x14ac:dyDescent="0.3">
      <c r="C5" t="s">
        <v>75</v>
      </c>
      <c r="D5" t="s">
        <v>76</v>
      </c>
      <c r="E5" t="s">
        <v>83</v>
      </c>
      <c r="F5" t="s">
        <v>77</v>
      </c>
      <c r="G5" t="s">
        <v>78</v>
      </c>
      <c r="H5" t="s">
        <v>79</v>
      </c>
      <c r="I5" t="s">
        <v>11</v>
      </c>
    </row>
    <row r="6" spans="3:9" x14ac:dyDescent="0.3">
      <c r="C6">
        <v>0</v>
      </c>
      <c r="D6" t="s">
        <v>80</v>
      </c>
      <c r="E6" s="2">
        <v>1</v>
      </c>
      <c r="F6">
        <v>0</v>
      </c>
      <c r="G6">
        <v>65535</v>
      </c>
      <c r="H6">
        <v>0</v>
      </c>
    </row>
    <row r="7" spans="3:9" x14ac:dyDescent="0.3">
      <c r="C7">
        <f>1+C6</f>
        <v>1</v>
      </c>
      <c r="D7" t="s">
        <v>81</v>
      </c>
      <c r="E7" s="2">
        <v>1</v>
      </c>
      <c r="F7">
        <v>0</v>
      </c>
      <c r="G7">
        <v>65535</v>
      </c>
      <c r="H7">
        <v>0</v>
      </c>
    </row>
    <row r="8" spans="3:9" x14ac:dyDescent="0.3">
      <c r="C8">
        <v>2</v>
      </c>
      <c r="D8" t="s">
        <v>82</v>
      </c>
      <c r="E8" s="2">
        <v>1</v>
      </c>
      <c r="F8">
        <v>0</v>
      </c>
      <c r="G8">
        <v>65535</v>
      </c>
      <c r="H8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9" sqref="E19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51</v>
      </c>
      <c r="D7" t="s">
        <v>50</v>
      </c>
      <c r="E7" t="s">
        <v>54</v>
      </c>
      <c r="F7" t="s">
        <v>55</v>
      </c>
      <c r="G7" t="s">
        <v>56</v>
      </c>
    </row>
    <row r="18" spans="6:6" x14ac:dyDescent="0.3">
      <c r="F18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Logic!$F$17:$F$17</xm:f>
          </x14:formula1>
          <xm:sqref>E8:G8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I21:Q26"/>
  <sheetViews>
    <sheetView topLeftCell="K14" zoomScale="116" workbookViewId="0">
      <selection activeCell="O26" sqref="O26"/>
    </sheetView>
  </sheetViews>
  <sheetFormatPr baseColWidth="10" defaultRowHeight="14.4" x14ac:dyDescent="0.3"/>
  <cols>
    <col min="9" max="9" width="23.8867187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9:17" x14ac:dyDescent="0.3">
      <c r="I21" t="s">
        <v>49</v>
      </c>
      <c r="J21" t="s">
        <v>41</v>
      </c>
      <c r="K21" t="s">
        <v>42</v>
      </c>
      <c r="L21" t="s">
        <v>43</v>
      </c>
      <c r="M21" t="s">
        <v>44</v>
      </c>
      <c r="N21" t="s">
        <v>45</v>
      </c>
      <c r="O21" t="s">
        <v>46</v>
      </c>
      <c r="P21" t="s">
        <v>47</v>
      </c>
      <c r="Q21" t="s">
        <v>48</v>
      </c>
    </row>
    <row r="22" spans="9:17" x14ac:dyDescent="0.3">
      <c r="I22">
        <v>0</v>
      </c>
      <c r="J22" t="s">
        <v>57</v>
      </c>
      <c r="K22">
        <v>0</v>
      </c>
      <c r="L22" t="s">
        <v>38</v>
      </c>
      <c r="M22" t="s">
        <v>38</v>
      </c>
      <c r="O22" t="s">
        <v>58</v>
      </c>
      <c r="P22" t="s">
        <v>59</v>
      </c>
    </row>
    <row r="23" spans="9:17" x14ac:dyDescent="0.3">
      <c r="I23">
        <f>1+I22</f>
        <v>1</v>
      </c>
      <c r="J23" t="s">
        <v>60</v>
      </c>
      <c r="K23">
        <v>1000</v>
      </c>
      <c r="L23" t="s">
        <v>38</v>
      </c>
      <c r="M23" t="s">
        <v>38</v>
      </c>
      <c r="O23" t="s">
        <v>58</v>
      </c>
      <c r="P23" t="s">
        <v>59</v>
      </c>
    </row>
    <row r="24" spans="9:17" x14ac:dyDescent="0.3">
      <c r="I24">
        <f>1+I23</f>
        <v>2</v>
      </c>
      <c r="J24" t="s">
        <v>63</v>
      </c>
      <c r="K24">
        <v>500</v>
      </c>
      <c r="L24" t="s">
        <v>39</v>
      </c>
      <c r="M24" t="s">
        <v>39</v>
      </c>
      <c r="O24" t="s">
        <v>61</v>
      </c>
      <c r="P24" t="s">
        <v>62</v>
      </c>
    </row>
    <row r="25" spans="9:17" x14ac:dyDescent="0.3">
      <c r="I25">
        <v>3</v>
      </c>
      <c r="J25" t="s">
        <v>64</v>
      </c>
      <c r="K25">
        <v>500</v>
      </c>
      <c r="L25" t="s">
        <v>39</v>
      </c>
      <c r="M25" t="s">
        <v>39</v>
      </c>
      <c r="O25" t="s">
        <v>61</v>
      </c>
      <c r="P25" t="s">
        <v>62</v>
      </c>
    </row>
    <row r="26" spans="9:17" x14ac:dyDescent="0.3">
      <c r="I26">
        <v>4</v>
      </c>
      <c r="J26" t="s">
        <v>65</v>
      </c>
      <c r="K26">
        <v>0</v>
      </c>
      <c r="L26" t="s">
        <v>39</v>
      </c>
      <c r="M26" t="s">
        <v>38</v>
      </c>
      <c r="O26" t="s">
        <v>66</v>
      </c>
    </row>
  </sheetData>
  <dataValidations count="1">
    <dataValidation type="list" allowBlank="1" showInputMessage="1" showErrorMessage="1" sqref="L22:M26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DiagStrategy!$C$7:$C$8</xm:f>
          </x14:formula1>
          <xm:sqref>N22:N26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G17"/>
  <sheetViews>
    <sheetView tabSelected="1" zoomScale="75" workbookViewId="0">
      <selection activeCell="F17" sqref="F17:G17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7" x14ac:dyDescent="0.3">
      <c r="C5" t="s">
        <v>52</v>
      </c>
      <c r="D5" t="s">
        <v>11</v>
      </c>
    </row>
    <row r="6" spans="3:7" x14ac:dyDescent="0.3">
      <c r="C6" t="s">
        <v>84</v>
      </c>
      <c r="D6" t="s">
        <v>74</v>
      </c>
    </row>
    <row r="16" spans="3:7" x14ac:dyDescent="0.3">
      <c r="F16" t="s">
        <v>53</v>
      </c>
      <c r="G16" t="s">
        <v>11</v>
      </c>
    </row>
    <row r="17" spans="6:6" x14ac:dyDescent="0.3">
      <c r="F17" t="s">
        <v>85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General</vt:lpstr>
      <vt:lpstr>Sensors_Drivers</vt:lpstr>
      <vt:lpstr>Actuators_Drivers</vt:lpstr>
      <vt:lpstr>Parameters</vt:lpstr>
      <vt:lpstr>DiagStrategy</vt:lpstr>
      <vt:lpstr>Diagnostic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2025-05-13T08:59:11Z</dcterms:modified>
</cp:coreProperties>
</file>